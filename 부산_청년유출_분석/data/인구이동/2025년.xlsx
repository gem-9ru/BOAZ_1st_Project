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사전제공\"/>
    </mc:Choice>
  </mc:AlternateContent>
  <xr:revisionPtr revIDLastSave="0" documentId="13_ncr:1_{4BADD960-A4F8-4C59-B5F7-C3A052BA7F72}" xr6:coauthVersionLast="47" xr6:coauthVersionMax="47" xr10:uidLastSave="{00000000-0000-0000-0000-000000000000}"/>
  <bookViews>
    <workbookView xWindow="28680" yWindow="-120" windowWidth="29040" windowHeight="15720" tabRatio="980" activeTab="1" xr2:uid="{00000000-000D-0000-FFFF-FFFF00000000}"/>
  </bookViews>
  <sheets>
    <sheet name="표지" sheetId="32" r:id="rId1"/>
    <sheet name="1. 성별 이동자수 및 이동률 추이" sheetId="37" r:id="rId2"/>
    <sheet name="2. 성 및 연령별 이동자수 및 이동률추이" sheetId="38" r:id="rId3"/>
    <sheet name="3. 시도별이동자추이" sheetId="12" r:id="rId4"/>
    <sheet name="4. 시도및성별" sheetId="2" r:id="rId5"/>
    <sheet name="5. 시도 및 연령별 순이동" sheetId="40" r:id="rId6"/>
    <sheet name="6.전입출지별(이동자)" sheetId="3" r:id="rId7"/>
    <sheet name="7.전입출지별(순이동)" sheetId="25" r:id="rId8"/>
    <sheet name="8.수도권 인구이동 추이" sheetId="49" r:id="rId9"/>
    <sheet name="9.월별" sheetId="48" r:id="rId10"/>
    <sheet name="10. 시도 및 전입사유별" sheetId="51" r:id="rId11"/>
    <sheet name="(참고)전입신고건수" sheetId="36" r:id="rId12"/>
    <sheet name="8.월별" sheetId="41" state="hidden" r:id="rId13"/>
  </sheets>
  <definedNames>
    <definedName name="_xlnm._FilterDatabase" localSheetId="1" hidden="1">'1. 성별 이동자수 및 이동률 추이'!$A$1:$T$90</definedName>
    <definedName name="_xlnm.Print_Area" localSheetId="1">'1. 성별 이동자수 및 이동률 추이'!$A$1:$Q$63</definedName>
    <definedName name="_xlnm.Print_Area" localSheetId="2">'2. 성 및 연령별 이동자수 및 이동률추이'!$A$1:$AT$60</definedName>
    <definedName name="_xlnm.Print_Area" localSheetId="4">'4. 시도및성별'!$A$1:$T$61</definedName>
    <definedName name="_xlnm.Print_Area" localSheetId="9">'9.월별'!$A$1:$J$47</definedName>
    <definedName name="_xlnm.Print_Area" localSheetId="0">표지!$A$1:$E$33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36" l="1"/>
  <c r="A3" i="36"/>
  <c r="A1" i="36" s="1"/>
  <c r="A1" i="51"/>
  <c r="A1" i="48"/>
  <c r="A1" i="49"/>
  <c r="A1" i="25"/>
  <c r="A1" i="3"/>
  <c r="A1" i="40"/>
  <c r="A1" i="2"/>
  <c r="A1" i="37" l="1"/>
  <c r="AQ3" i="38"/>
  <c r="AO3" i="38" s="1"/>
  <c r="AM3" i="38" s="1"/>
  <c r="AK3" i="38" s="1"/>
  <c r="AI3" i="38" s="1"/>
  <c r="AG3" i="38" s="1"/>
  <c r="AE3" i="38" s="1"/>
  <c r="AC3" i="38" s="1"/>
  <c r="AA3" i="38" s="1"/>
  <c r="Y3" i="38" s="1"/>
  <c r="W3" i="38" s="1"/>
  <c r="U3" i="38" s="1"/>
  <c r="S3" i="38" s="1"/>
  <c r="Q3" i="38" s="1"/>
  <c r="O3" i="38" s="1"/>
  <c r="M3" i="38" s="1"/>
  <c r="K3" i="38" s="1"/>
  <c r="I3" i="38" s="1"/>
  <c r="G3" i="38" s="1"/>
  <c r="E3" i="38" s="1"/>
  <c r="C3" i="38" s="1"/>
  <c r="A1" i="38" s="1"/>
  <c r="A25" i="32"/>
  <c r="A23" i="32"/>
  <c r="A21" i="32"/>
  <c r="A19" i="32"/>
  <c r="A17" i="32"/>
  <c r="A15" i="32"/>
  <c r="A13" i="32"/>
  <c r="A11" i="32"/>
  <c r="A9" i="32"/>
  <c r="A7" i="32"/>
  <c r="A5" i="32"/>
  <c r="A1" i="12" l="1"/>
</calcChain>
</file>

<file path=xl/sharedStrings.xml><?xml version="1.0" encoding="utf-8"?>
<sst xmlns="http://schemas.openxmlformats.org/spreadsheetml/2006/main" count="1383" uniqueCount="492">
  <si>
    <t>순이동</t>
  </si>
  <si>
    <t>시군구내</t>
  </si>
  <si>
    <t>시군구간</t>
  </si>
  <si>
    <t>전입</t>
  </si>
  <si>
    <t>전출</t>
  </si>
  <si>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</si>
  <si>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</si>
  <si>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</si>
  <si>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</si>
  <si>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</si>
  <si>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</si>
  <si>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</si>
  <si>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</si>
  <si>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</si>
  <si>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</si>
  <si>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</si>
  <si>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</si>
  <si>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</si>
  <si>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</si>
  <si>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</si>
  <si>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</si>
  <si>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</si>
  <si>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남자</t>
    <phoneticPr fontId="2" type="noConversion"/>
  </si>
  <si>
    <t xml:space="preserve"> 0- 4세</t>
  </si>
  <si>
    <t xml:space="preserve"> 5- 9세</t>
  </si>
  <si>
    <t>10-14세</t>
  </si>
  <si>
    <t>15-19세</t>
  </si>
  <si>
    <t>20-24세</t>
  </si>
  <si>
    <t>25-29세</t>
  </si>
  <si>
    <t>30-34세</t>
  </si>
  <si>
    <t>35-39세</t>
  </si>
  <si>
    <t>40-44세</t>
  </si>
  <si>
    <t>45-49세</t>
  </si>
  <si>
    <t>50-54세</t>
  </si>
  <si>
    <t>55-59세</t>
  </si>
  <si>
    <t>60-64세</t>
  </si>
  <si>
    <t>(단위 : 명)</t>
    <phoneticPr fontId="2" type="noConversion"/>
  </si>
  <si>
    <t>65-69세</t>
  </si>
  <si>
    <t>70-74세</t>
  </si>
  <si>
    <t>75-79세</t>
  </si>
  <si>
    <t>순이동</t>
    <phoneticPr fontId="2" type="noConversion"/>
  </si>
  <si>
    <t>계</t>
    <phoneticPr fontId="2" type="noConversion"/>
  </si>
  <si>
    <t>전국</t>
    <phoneticPr fontId="2" type="noConversion"/>
  </si>
  <si>
    <t xml:space="preserve">     (단위 : 명)</t>
    <phoneticPr fontId="2" type="noConversion"/>
  </si>
  <si>
    <t>남자</t>
    <phoneticPr fontId="2" type="noConversion"/>
  </si>
  <si>
    <t>여자</t>
    <phoneticPr fontId="2" type="noConversion"/>
  </si>
  <si>
    <t xml:space="preserve"> 시 도    
        연 도</t>
    <phoneticPr fontId="2" type="noConversion"/>
  </si>
  <si>
    <t>(단위 : 명, %)</t>
    <phoneticPr fontId="2" type="noConversion"/>
  </si>
  <si>
    <t>계</t>
  </si>
  <si>
    <t>1인</t>
  </si>
  <si>
    <t>2인</t>
  </si>
  <si>
    <t>3인</t>
  </si>
  <si>
    <t>4인</t>
  </si>
  <si>
    <t>5인</t>
  </si>
  <si>
    <t>6인이상</t>
    <phoneticPr fontId="2" type="noConversion"/>
  </si>
  <si>
    <t>평균 
이동규모</t>
    <phoneticPr fontId="2" type="noConversion"/>
  </si>
  <si>
    <t>남자</t>
  </si>
  <si>
    <t>여자</t>
  </si>
  <si>
    <t>시도간</t>
    <phoneticPr fontId="2" type="noConversion"/>
  </si>
  <si>
    <t>시도내</t>
    <phoneticPr fontId="2" type="noConversion"/>
  </si>
  <si>
    <t>이동률</t>
    <phoneticPr fontId="2" type="noConversion"/>
  </si>
  <si>
    <t>이동자수</t>
    <phoneticPr fontId="2" type="noConversion"/>
  </si>
  <si>
    <t>연도</t>
    <phoneticPr fontId="2" type="noConversion"/>
  </si>
  <si>
    <t>2009년</t>
  </si>
  <si>
    <t>2010년</t>
  </si>
  <si>
    <t>신고건수</t>
    <phoneticPr fontId="2" type="noConversion"/>
  </si>
  <si>
    <t>시도내이동률</t>
    <phoneticPr fontId="2" type="noConversion"/>
  </si>
  <si>
    <t>시도간이동률</t>
    <phoneticPr fontId="2" type="noConversion"/>
  </si>
  <si>
    <t>총이동자수</t>
    <phoneticPr fontId="2" type="noConversion"/>
  </si>
  <si>
    <t>시도간이동자수</t>
    <phoneticPr fontId="2" type="noConversion"/>
  </si>
  <si>
    <t>순이동자수</t>
    <phoneticPr fontId="2" type="noConversion"/>
  </si>
  <si>
    <t>총이동률</t>
    <phoneticPr fontId="2" type="noConversion"/>
  </si>
  <si>
    <t>순이동률</t>
    <phoneticPr fontId="2" type="noConversion"/>
  </si>
  <si>
    <t>시도내이동자수</t>
    <phoneticPr fontId="2" type="noConversion"/>
  </si>
  <si>
    <t>총이동</t>
    <phoneticPr fontId="2" type="noConversion"/>
  </si>
  <si>
    <t>남녀전체</t>
    <phoneticPr fontId="2" type="noConversion"/>
  </si>
  <si>
    <t>남녀전체</t>
    <phoneticPr fontId="2" type="noConversion"/>
  </si>
  <si>
    <t>성별</t>
    <phoneticPr fontId="2" type="noConversion"/>
  </si>
  <si>
    <t>시도</t>
    <phoneticPr fontId="2" type="noConversion"/>
  </si>
  <si>
    <t>시도</t>
    <phoneticPr fontId="2" type="noConversion"/>
  </si>
  <si>
    <t>여자</t>
    <phoneticPr fontId="2" type="noConversion"/>
  </si>
  <si>
    <t>2011년</t>
    <phoneticPr fontId="2" type="noConversion"/>
  </si>
  <si>
    <t>이동자수</t>
  </si>
  <si>
    <t>이동률*</t>
  </si>
  <si>
    <t>총이동</t>
  </si>
  <si>
    <t>시도내</t>
  </si>
  <si>
    <t>시도간</t>
  </si>
  <si>
    <t>전  년</t>
  </si>
  <si>
    <t>(동월)비</t>
  </si>
  <si>
    <t>누계비</t>
  </si>
  <si>
    <t>(동월)차</t>
  </si>
  <si>
    <t>-</t>
  </si>
  <si>
    <t>12월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</si>
  <si>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</si>
  <si>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</si>
  <si>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</si>
  <si>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</si>
  <si>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</si>
  <si>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</si>
  <si>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</si>
  <si>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</si>
  <si>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</si>
  <si>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</si>
  <si>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2010. 1월</t>
  </si>
  <si>
    <t>2011. 1월</t>
  </si>
  <si>
    <t>(단위 : 명, %, %p)</t>
    <phoneticPr fontId="2" type="noConversion"/>
  </si>
  <si>
    <t>* 이동률 산출시 연간은 주민등록연앙인구, 월간은 월말기준 주민등록인구 사용</t>
    <phoneticPr fontId="2" type="noConversion"/>
  </si>
  <si>
    <t>전입</t>
    <phoneticPr fontId="2" type="noConversion"/>
  </si>
  <si>
    <t>년, 월</t>
    <phoneticPr fontId="2" type="noConversion"/>
  </si>
  <si>
    <t>8. 월별 인구이동 추이, 2009-2011</t>
    <phoneticPr fontId="2" type="noConversion"/>
  </si>
  <si>
    <t>-</t>
    <phoneticPr fontId="2" type="noConversion"/>
  </si>
  <si>
    <t>세종</t>
    <phoneticPr fontId="2" type="noConversion"/>
  </si>
  <si>
    <t>세종</t>
    <phoneticPr fontId="2" type="noConversion"/>
  </si>
  <si>
    <t>2012. 1월</t>
    <phoneticPr fontId="2" type="noConversion"/>
  </si>
  <si>
    <t>2012년</t>
    <phoneticPr fontId="2" type="noConversion"/>
  </si>
  <si>
    <t>연 도</t>
    <phoneticPr fontId="2" type="noConversion"/>
  </si>
  <si>
    <t xml:space="preserve">     전입(비수도권에서 수도권으로)</t>
    <phoneticPr fontId="2" type="noConversion"/>
  </si>
  <si>
    <t xml:space="preserve">     전출(수도권에서 비수도권으로)</t>
    <phoneticPr fontId="2" type="noConversion"/>
  </si>
  <si>
    <t>서울</t>
    <phoneticPr fontId="2" type="noConversion"/>
  </si>
  <si>
    <t>인천</t>
    <phoneticPr fontId="2" type="noConversion"/>
  </si>
  <si>
    <t>경기</t>
    <phoneticPr fontId="2" type="noConversion"/>
  </si>
  <si>
    <t>직업</t>
  </si>
  <si>
    <t>가족</t>
  </si>
  <si>
    <t>주택</t>
  </si>
  <si>
    <t>교육</t>
  </si>
  <si>
    <t>주거환경</t>
  </si>
  <si>
    <t>자연환경</t>
  </si>
  <si>
    <t>기타</t>
  </si>
  <si>
    <t>전출자(시도내+시도간)</t>
    <phoneticPr fontId="2" type="noConversion"/>
  </si>
  <si>
    <t>전입자(시도내+시도간)</t>
    <phoneticPr fontId="2" type="noConversion"/>
  </si>
  <si>
    <t>전입자(시도간)</t>
    <phoneticPr fontId="2" type="noConversion"/>
  </si>
  <si>
    <t>전출자(시도간)</t>
    <phoneticPr fontId="2" type="noConversion"/>
  </si>
  <si>
    <t>순 이 동</t>
    <phoneticPr fontId="2" type="noConversion"/>
  </si>
  <si>
    <t>성별</t>
    <phoneticPr fontId="2" type="noConversion"/>
  </si>
  <si>
    <t>연령</t>
    <phoneticPr fontId="2" type="noConversion"/>
  </si>
  <si>
    <t>이동자수</t>
    <phoneticPr fontId="2" type="noConversion"/>
  </si>
  <si>
    <t>남녀전체</t>
    <phoneticPr fontId="2" type="noConversion"/>
  </si>
  <si>
    <t>남자</t>
    <phoneticPr fontId="2" type="noConversion"/>
  </si>
  <si>
    <t>여자</t>
    <phoneticPr fontId="2" type="noConversion"/>
  </si>
  <si>
    <t>성별</t>
    <phoneticPr fontId="2" type="noConversion"/>
  </si>
  <si>
    <t>전국</t>
    <phoneticPr fontId="2" type="noConversion"/>
  </si>
  <si>
    <t>세종</t>
    <phoneticPr fontId="2" type="noConversion"/>
  </si>
  <si>
    <t>남녀전체</t>
    <phoneticPr fontId="2" type="noConversion"/>
  </si>
  <si>
    <t>남자</t>
    <phoneticPr fontId="2" type="noConversion"/>
  </si>
  <si>
    <t>여자</t>
    <phoneticPr fontId="2" type="noConversion"/>
  </si>
  <si>
    <t>성별</t>
    <phoneticPr fontId="2" type="noConversion"/>
  </si>
  <si>
    <t>전국</t>
    <phoneticPr fontId="2" type="noConversion"/>
  </si>
  <si>
    <t>세종</t>
    <phoneticPr fontId="2" type="noConversion"/>
  </si>
  <si>
    <t>전출지
    전입지</t>
    <phoneticPr fontId="2" type="noConversion"/>
  </si>
  <si>
    <t>남녀전체</t>
    <phoneticPr fontId="2" type="noConversion"/>
  </si>
  <si>
    <t>남자</t>
    <phoneticPr fontId="2" type="noConversion"/>
  </si>
  <si>
    <r>
      <t xml:space="preserve">   </t>
    </r>
    <r>
      <rPr>
        <sz val="7"/>
        <rFont val="굴림체"/>
        <family val="3"/>
        <charset val="129"/>
      </rPr>
      <t xml:space="preserve">  </t>
    </r>
    <r>
      <rPr>
        <sz val="8.5"/>
        <rFont val="굴림체"/>
        <family val="3"/>
        <charset val="129"/>
      </rPr>
      <t>전출지
전입지</t>
    </r>
    <phoneticPr fontId="2" type="noConversion"/>
  </si>
  <si>
    <t>(단위: 천 명, %)</t>
    <phoneticPr fontId="2" type="noConversion"/>
  </si>
  <si>
    <t>(단위: 명)</t>
    <phoneticPr fontId="2" type="noConversion"/>
  </si>
  <si>
    <t>(단위: 명, %, %p)</t>
    <phoneticPr fontId="2" type="noConversion"/>
  </si>
  <si>
    <t>(단위: 건, 전입신고 한건당 이동자 수)</t>
    <phoneticPr fontId="2" type="noConversion"/>
  </si>
  <si>
    <t>(단위: 건)</t>
    <phoneticPr fontId="2" type="noConversion"/>
  </si>
  <si>
    <t>* 이동률 산출시 연간은 주민등록연앙인구, 월간은 주민등록월앙인구 사용</t>
    <phoneticPr fontId="2" type="noConversion"/>
  </si>
  <si>
    <t>전출</t>
    <phoneticPr fontId="2" type="noConversion"/>
  </si>
  <si>
    <t>시도
      연령</t>
    <phoneticPr fontId="2" type="noConversion"/>
  </si>
  <si>
    <t xml:space="preserve">       시도
연령</t>
    <phoneticPr fontId="2" type="noConversion"/>
  </si>
  <si>
    <t>전출지
     전입지</t>
    <phoneticPr fontId="2" type="noConversion"/>
  </si>
  <si>
    <t xml:space="preserve">     전출지
전입지</t>
    <phoneticPr fontId="2" type="noConversion"/>
  </si>
  <si>
    <t xml:space="preserve">          시도
전입사유</t>
    <phoneticPr fontId="2" type="noConversion"/>
  </si>
  <si>
    <t>시도
      전입사유</t>
    <phoneticPr fontId="2" type="noConversion"/>
  </si>
  <si>
    <t>80세이상</t>
  </si>
  <si>
    <r>
      <t xml:space="preserve">       시 도</t>
    </r>
    <r>
      <rPr>
        <sz val="1"/>
        <rFont val="굴림체"/>
        <family val="3"/>
        <charset val="129"/>
      </rPr>
      <t xml:space="preserve">
</t>
    </r>
    <r>
      <rPr>
        <sz val="9"/>
        <rFont val="굴림체"/>
        <family val="3"/>
        <charset val="129"/>
      </rPr>
      <t>연 도</t>
    </r>
    <phoneticPr fontId="2" type="noConversion"/>
  </si>
  <si>
    <t>세종</t>
  </si>
  <si>
    <t>(단위: 명, %, 여자 1백명당 남자)</t>
    <phoneticPr fontId="2" type="noConversion"/>
  </si>
  <si>
    <t>연도</t>
    <phoneticPr fontId="2" type="noConversion"/>
  </si>
  <si>
    <t>총이동</t>
    <phoneticPr fontId="2" type="noConversion"/>
  </si>
  <si>
    <t>시도내</t>
    <phoneticPr fontId="2" type="noConversion"/>
  </si>
  <si>
    <t>시도간</t>
    <phoneticPr fontId="2" type="noConversion"/>
  </si>
  <si>
    <t>연도</t>
    <phoneticPr fontId="2" type="noConversion"/>
  </si>
  <si>
    <t>이동자수</t>
    <phoneticPr fontId="2" type="noConversion"/>
  </si>
  <si>
    <t>이동률</t>
    <phoneticPr fontId="2" type="noConversion"/>
  </si>
  <si>
    <t>남녀전체</t>
    <phoneticPr fontId="2" type="noConversion"/>
  </si>
  <si>
    <t>증감</t>
    <phoneticPr fontId="2" type="noConversion"/>
  </si>
  <si>
    <t>증감률</t>
    <phoneticPr fontId="2" type="noConversion"/>
  </si>
  <si>
    <t>성비</t>
    <phoneticPr fontId="2" type="noConversion"/>
  </si>
  <si>
    <t>* 1970년 시도내 및 시도간 이동자의 성별 구분 없음</t>
    <phoneticPr fontId="2" type="noConversion"/>
  </si>
  <si>
    <t>작업년도</t>
    <phoneticPr fontId="2" type="noConversion"/>
  </si>
  <si>
    <t>4 046 536</t>
  </si>
  <si>
    <t>2 150 793</t>
  </si>
  <si>
    <t>1 895 743</t>
  </si>
  <si>
    <t>2 780 068</t>
  </si>
  <si>
    <t>1 266 468</t>
  </si>
  <si>
    <t>4 210 164</t>
  </si>
  <si>
    <t>2 188 457</t>
  </si>
  <si>
    <t>2 021 707</t>
  </si>
  <si>
    <t>2 878 091</t>
  </si>
  <si>
    <t>1 332 073</t>
  </si>
  <si>
    <t>3 687 938</t>
  </si>
  <si>
    <t>1 933 929</t>
  </si>
  <si>
    <t>1 754 009</t>
  </si>
  <si>
    <t>2 619 367</t>
  </si>
  <si>
    <t>1 068 571</t>
  </si>
  <si>
    <t>4 860 418</t>
  </si>
  <si>
    <t>2 525 389</t>
  </si>
  <si>
    <t>2 335 029</t>
  </si>
  <si>
    <t>3 435 573</t>
  </si>
  <si>
    <t>1 424 845</t>
  </si>
  <si>
    <t>5 297 969</t>
  </si>
  <si>
    <t>2 752 074</t>
  </si>
  <si>
    <t>2 545 895</t>
  </si>
  <si>
    <t>3 709 343</t>
  </si>
  <si>
    <t>1 588 626</t>
  </si>
  <si>
    <t>9 011 440</t>
  </si>
  <si>
    <t>4 505 871</t>
  </si>
  <si>
    <t>4 505 569</t>
  </si>
  <si>
    <t>6 143 486</t>
  </si>
  <si>
    <t>2 867 954</t>
  </si>
  <si>
    <t>6 773 250</t>
  </si>
  <si>
    <t>3 576 261</t>
  </si>
  <si>
    <t>3 196 989</t>
  </si>
  <si>
    <t>4 620 297</t>
  </si>
  <si>
    <t>2 152 953</t>
  </si>
  <si>
    <t>7 397 623</t>
  </si>
  <si>
    <t>3 912 894</t>
  </si>
  <si>
    <t>3 484 729</t>
  </si>
  <si>
    <t>5 234 058</t>
  </si>
  <si>
    <t>2 163 565</t>
  </si>
  <si>
    <t>8 410 276</t>
  </si>
  <si>
    <t>4 388 655</t>
  </si>
  <si>
    <t>4 021 621</t>
  </si>
  <si>
    <t>5 867 479</t>
  </si>
  <si>
    <t>2 542 797</t>
  </si>
  <si>
    <t>7 324 380</t>
  </si>
  <si>
    <t>3 904 662</t>
  </si>
  <si>
    <t>3 419 718</t>
  </si>
  <si>
    <t>4 974 831</t>
  </si>
  <si>
    <t>2 349 549</t>
  </si>
  <si>
    <t>8 258 573</t>
  </si>
  <si>
    <t>4 275 107</t>
  </si>
  <si>
    <t>3 983 466</t>
  </si>
  <si>
    <t>5 652 936</t>
  </si>
  <si>
    <t>2 605 637</t>
  </si>
  <si>
    <t>8 194 516</t>
  </si>
  <si>
    <t>4 222 102</t>
  </si>
  <si>
    <t>3 972 414</t>
  </si>
  <si>
    <t>5 401 067</t>
  </si>
  <si>
    <t>2 793 449</t>
  </si>
  <si>
    <t>8 616 474</t>
  </si>
  <si>
    <t>4 446 382</t>
  </si>
  <si>
    <t>4 170 092</t>
  </si>
  <si>
    <t>5 806 253</t>
  </si>
  <si>
    <t>2 810 221</t>
  </si>
  <si>
    <t>9 795 811</t>
  </si>
  <si>
    <t>4 983 047</t>
  </si>
  <si>
    <t>4 812 764</t>
  </si>
  <si>
    <t>6 584 773</t>
  </si>
  <si>
    <t>3 211 038</t>
  </si>
  <si>
    <t>9 043 238</t>
  </si>
  <si>
    <t>4 633 161</t>
  </si>
  <si>
    <t>4 410 077</t>
  </si>
  <si>
    <t>6 033 834</t>
  </si>
  <si>
    <t>3 009 404</t>
  </si>
  <si>
    <t>8 679 097</t>
  </si>
  <si>
    <t>4 439 543</t>
  </si>
  <si>
    <t>4 239 554</t>
  </si>
  <si>
    <t>5 753 800</t>
  </si>
  <si>
    <t>2 925 297</t>
  </si>
  <si>
    <t>8 660 428</t>
  </si>
  <si>
    <t>4 430 249</t>
  </si>
  <si>
    <t>4 230 179</t>
  </si>
  <si>
    <t>5 639 139</t>
  </si>
  <si>
    <t>3 021 289</t>
  </si>
  <si>
    <t>9 308 750</t>
  </si>
  <si>
    <t>4 724 129</t>
  </si>
  <si>
    <t>4 584 621</t>
  </si>
  <si>
    <t>6 065 385</t>
  </si>
  <si>
    <t>3 243 365</t>
  </si>
  <si>
    <t>9 969 020</t>
  </si>
  <si>
    <t>5 059 833</t>
  </si>
  <si>
    <t>4 909 187</t>
  </si>
  <si>
    <t>6 616 530</t>
  </si>
  <si>
    <t>3 352 490</t>
  </si>
  <si>
    <t>9 316 219</t>
  </si>
  <si>
    <t>4 719 029</t>
  </si>
  <si>
    <t>4 597 190</t>
  </si>
  <si>
    <t>6 126 613</t>
  </si>
  <si>
    <t>3 189 606</t>
  </si>
  <si>
    <t>9 459 209</t>
  </si>
  <si>
    <t>4 807 320</t>
  </si>
  <si>
    <t>4 651 889</t>
  </si>
  <si>
    <t>6 228 081</t>
  </si>
  <si>
    <t>3 231 128</t>
  </si>
  <si>
    <t>8 980 841</t>
  </si>
  <si>
    <t>4 541 696</t>
  </si>
  <si>
    <t>4 439 145</t>
  </si>
  <si>
    <t>6 022 999</t>
  </si>
  <si>
    <t>2 957 842</t>
  </si>
  <si>
    <t>9 031 576</t>
  </si>
  <si>
    <t>4 542 387</t>
  </si>
  <si>
    <t>4 489 189</t>
  </si>
  <si>
    <t>6 171 816</t>
  </si>
  <si>
    <t>2 859 760</t>
  </si>
  <si>
    <t>8 807 058</t>
  </si>
  <si>
    <t>4 430 204</t>
  </si>
  <si>
    <t>4 376 854</t>
  </si>
  <si>
    <t>5 943 391</t>
  </si>
  <si>
    <t>2 863 667</t>
  </si>
  <si>
    <t>8 791 714</t>
  </si>
  <si>
    <t>4 406 649</t>
  </si>
  <si>
    <t>4 385 065</t>
  </si>
  <si>
    <t>6 052 025</t>
  </si>
  <si>
    <t>2 739 689</t>
  </si>
  <si>
    <t>9 073 069</t>
  </si>
  <si>
    <t>4 538 295</t>
  </si>
  <si>
    <t>4 534 774</t>
  </si>
  <si>
    <t>6 208 130</t>
  </si>
  <si>
    <t>2 864 939</t>
  </si>
  <si>
    <t>8 854 973</t>
  </si>
  <si>
    <t>4 429 999</t>
  </si>
  <si>
    <t>4 424 974</t>
  </si>
  <si>
    <t>6 018 884</t>
  </si>
  <si>
    <t>2 836 089</t>
  </si>
  <si>
    <t>8 819 909</t>
  </si>
  <si>
    <t>4 409 734</t>
  </si>
  <si>
    <t>4 410 175</t>
  </si>
  <si>
    <t>5 981 467</t>
  </si>
  <si>
    <t>2 838 442</t>
  </si>
  <si>
    <t>8 156 318</t>
  </si>
  <si>
    <t>4 053 354</t>
  </si>
  <si>
    <t>4 102 964</t>
  </si>
  <si>
    <t>5 477 689</t>
  </si>
  <si>
    <t>2 678 629</t>
  </si>
  <si>
    <t>9 435 347</t>
  </si>
  <si>
    <t>4 640 988</t>
  </si>
  <si>
    <t>4 794 359</t>
  </si>
  <si>
    <t>6 410 563</t>
  </si>
  <si>
    <t>3 024 784</t>
  </si>
  <si>
    <t>9 009 441</t>
  </si>
  <si>
    <t>4 474 676</t>
  </si>
  <si>
    <t>4 534 765</t>
  </si>
  <si>
    <t>6 163 610</t>
  </si>
  <si>
    <t>2 845 831</t>
  </si>
  <si>
    <t>9 289 949</t>
  </si>
  <si>
    <t>4 617 565</t>
  </si>
  <si>
    <t>4 672 384</t>
  </si>
  <si>
    <t>6 357 932</t>
  </si>
  <si>
    <t>2 932 017</t>
  </si>
  <si>
    <t>9 584 461</t>
  </si>
  <si>
    <t>4 755 557</t>
  </si>
  <si>
    <t>4 828 904</t>
  </si>
  <si>
    <t>6 589 646</t>
  </si>
  <si>
    <t>2 994 815</t>
  </si>
  <si>
    <t>9 516 605</t>
  </si>
  <si>
    <t>4 704 601</t>
  </si>
  <si>
    <t>4 812 004</t>
  </si>
  <si>
    <t>6 508 824</t>
  </si>
  <si>
    <t>3 007 781</t>
  </si>
  <si>
    <t>8 567 795</t>
  </si>
  <si>
    <t>4 267 695</t>
  </si>
  <si>
    <t>4 300 100</t>
  </si>
  <si>
    <t>5 774 056</t>
  </si>
  <si>
    <t>2 793 739</t>
  </si>
  <si>
    <t>8 795 397</t>
  </si>
  <si>
    <t>4 394 364</t>
  </si>
  <si>
    <t>4 401 033</t>
  </si>
  <si>
    <t>5 980 118</t>
  </si>
  <si>
    <t>2 815 279</t>
  </si>
  <si>
    <t>9 342 074</t>
  </si>
  <si>
    <t>4 656 686</t>
  </si>
  <si>
    <t>4 685 388</t>
  </si>
  <si>
    <t>6 395 405</t>
  </si>
  <si>
    <t>2 946 669</t>
  </si>
  <si>
    <t>9 070 102</t>
  </si>
  <si>
    <t>4 515 566</t>
  </si>
  <si>
    <t>4 554 536</t>
  </si>
  <si>
    <t>6 148 099</t>
  </si>
  <si>
    <t>2 922 003</t>
  </si>
  <si>
    <t>8 808 256</t>
  </si>
  <si>
    <t>4 408 493</t>
  </si>
  <si>
    <t>4 399 763</t>
  </si>
  <si>
    <t>6 016 105</t>
  </si>
  <si>
    <t>2 792 151</t>
  </si>
  <si>
    <t>8 487 275</t>
  </si>
  <si>
    <t>4 248 697</t>
  </si>
  <si>
    <t>4 238 578</t>
  </si>
  <si>
    <t>5 758 303</t>
  </si>
  <si>
    <t>2 728 972</t>
  </si>
  <si>
    <t>8 226 594</t>
  </si>
  <si>
    <t>4 136 960</t>
  </si>
  <si>
    <t>4 089 634</t>
  </si>
  <si>
    <t>5 564 301</t>
  </si>
  <si>
    <t>2 662 293</t>
  </si>
  <si>
    <t>8 127 195</t>
  </si>
  <si>
    <t>4 090 513</t>
  </si>
  <si>
    <t>4 036 682</t>
  </si>
  <si>
    <t>5 522 682</t>
  </si>
  <si>
    <t>2 604 513</t>
  </si>
  <si>
    <t>7 506 691</t>
  </si>
  <si>
    <t>3 788 912</t>
  </si>
  <si>
    <t>3 717 779</t>
  </si>
  <si>
    <t>4 993 951</t>
  </si>
  <si>
    <t>2 512 740</t>
  </si>
  <si>
    <t>7 411 784</t>
  </si>
  <si>
    <t>3 747 706</t>
  </si>
  <si>
    <t>3 664 078</t>
  </si>
  <si>
    <t>4 988 355</t>
  </si>
  <si>
    <t>2 423 429</t>
  </si>
  <si>
    <t>7 629 098</t>
  </si>
  <si>
    <t>3 869 608</t>
  </si>
  <si>
    <t>3 759 490</t>
  </si>
  <si>
    <t>5 121 302</t>
  </si>
  <si>
    <t>2 507 796</t>
  </si>
  <si>
    <t>7 755 286</t>
  </si>
  <si>
    <t>3 939 576</t>
  </si>
  <si>
    <t>3 815 710</t>
  </si>
  <si>
    <t>5 203 862</t>
  </si>
  <si>
    <t>2 551 424</t>
  </si>
  <si>
    <t>7 378 430</t>
  </si>
  <si>
    <t>3 755 734</t>
  </si>
  <si>
    <t>3 622 696</t>
  </si>
  <si>
    <t>4 925 088</t>
  </si>
  <si>
    <t>2 453 342</t>
  </si>
  <si>
    <t>7 154 226</t>
  </si>
  <si>
    <t>3 649 815</t>
  </si>
  <si>
    <t>3 504 411</t>
  </si>
  <si>
    <t>4 743 296</t>
  </si>
  <si>
    <t>2 410 930</t>
  </si>
  <si>
    <t>7 297 099</t>
  </si>
  <si>
    <t>3 715 518</t>
  </si>
  <si>
    <t>3 581 581</t>
  </si>
  <si>
    <t>4 867 915</t>
  </si>
  <si>
    <t>2 429 184</t>
  </si>
  <si>
    <t>7 104 398</t>
  </si>
  <si>
    <t>3 631 378</t>
  </si>
  <si>
    <t>3 473 020</t>
  </si>
  <si>
    <t>4 719 450</t>
  </si>
  <si>
    <t>2 384 948</t>
  </si>
  <si>
    <t>7 735 491</t>
  </si>
  <si>
    <t>3 932 208</t>
  </si>
  <si>
    <t>3 803 283</t>
  </si>
  <si>
    <t>5 201 377</t>
  </si>
  <si>
    <t>2 534 114</t>
  </si>
  <si>
    <t>7 213 422</t>
  </si>
  <si>
    <t>3 688 955</t>
  </si>
  <si>
    <t>3 524 467</t>
  </si>
  <si>
    <t>4 766 188</t>
  </si>
  <si>
    <t>2 447 234</t>
  </si>
  <si>
    <t>6 152 155</t>
  </si>
  <si>
    <t>3 160 337</t>
  </si>
  <si>
    <t>2 991 818</t>
  </si>
  <si>
    <t>3 978 550</t>
  </si>
  <si>
    <t>2 173 605</t>
  </si>
  <si>
    <t>6 128 738</t>
  </si>
  <si>
    <t>3 149 555</t>
  </si>
  <si>
    <t>2 979 183</t>
  </si>
  <si>
    <t>3 986 196</t>
  </si>
  <si>
    <t>2 142 542</t>
  </si>
  <si>
    <t>6 283 319</t>
  </si>
  <si>
    <t>3 213 510</t>
  </si>
  <si>
    <t>3 069 809</t>
  </si>
  <si>
    <t>4 108 792</t>
  </si>
  <si>
    <t>2 174 527</t>
  </si>
  <si>
    <t>6 117 784</t>
  </si>
  <si>
    <t>3 139 371</t>
  </si>
  <si>
    <t>2 978 413</t>
  </si>
  <si>
    <t>3 931 871</t>
  </si>
  <si>
    <t>2 185 913</t>
  </si>
  <si>
    <t>2023년</t>
  </si>
  <si>
    <t>2024년</t>
  </si>
  <si>
    <t>2025년</t>
  </si>
  <si>
    <t>2023. 1월</t>
  </si>
  <si>
    <t>2024. 1월</t>
  </si>
  <si>
    <t>2025. 1월</t>
  </si>
  <si>
    <t>1 172 480</t>
    <phoneticPr fontId="2" type="noConversion"/>
  </si>
  <si>
    <t xml:space="preserve"> 437 551</t>
    <phoneticPr fontId="2" type="noConversion"/>
  </si>
  <si>
    <t>3 713 471</t>
    <phoneticPr fontId="2" type="noConversion"/>
  </si>
  <si>
    <t xml:space="preserve"> 624 373</t>
    <phoneticPr fontId="2" type="noConversion"/>
  </si>
  <si>
    <t xml:space="preserve"> 934 193</t>
    <phoneticPr fontId="2" type="noConversion"/>
  </si>
  <si>
    <t xml:space="preserve"> 421 958</t>
    <phoneticPr fontId="2" type="noConversion"/>
  </si>
  <si>
    <t>1 179 337</t>
    <phoneticPr fontId="2" type="noConversion"/>
  </si>
  <si>
    <t xml:space="preserve"> 648 322</t>
    <phoneticPr fontId="2" type="noConversion"/>
  </si>
  <si>
    <t xml:space="preserve"> 660 270</t>
    <phoneticPr fontId="2" type="noConversion"/>
  </si>
  <si>
    <t xml:space="preserve"> 142 990</t>
    <phoneticPr fontId="2" type="noConversion"/>
  </si>
  <si>
    <t xml:space="preserve"> 50 735</t>
    <phoneticPr fontId="2" type="noConversion"/>
  </si>
  <si>
    <t xml:space="preserve"> 281 355</t>
    <phoneticPr fontId="2" type="noConversion"/>
  </si>
  <si>
    <t>1 279 029</t>
    <phoneticPr fontId="2" type="noConversion"/>
  </si>
  <si>
    <t xml:space="preserve"> 280 508</t>
    <phoneticPr fontId="2" type="noConversion"/>
  </si>
  <si>
    <t xml:space="preserve"> 294 512</t>
    <phoneticPr fontId="2" type="noConversion"/>
  </si>
  <si>
    <t xml:space="preserve"> 227 602</t>
    <phoneticPr fontId="2" type="noConversion"/>
  </si>
  <si>
    <t xml:space="preserve"> 546 677</t>
    <phoneticPr fontId="2" type="noConversion"/>
  </si>
  <si>
    <t xml:space="preserve"> 217 314</t>
    <phoneticPr fontId="2" type="noConversion"/>
  </si>
  <si>
    <t xml:space="preserve"> 126 188</t>
    <phoneticPr fontId="2" type="noConversion"/>
  </si>
  <si>
    <t xml:space="preserve"> 142 873</t>
    <phoneticPr fontId="2" type="noConversion"/>
  </si>
  <si>
    <t xml:space="preserve"> 631 093</t>
    <phoneticPr fontId="2" type="noConversion"/>
  </si>
  <si>
    <t xml:space="preserve"> 154 581</t>
    <phoneticPr fontId="2" type="noConversion"/>
  </si>
  <si>
    <t>1 012 653</t>
    <phoneticPr fontId="2" type="noConversion"/>
  </si>
  <si>
    <t xml:space="preserve"> 163 628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</si>
</sst>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76" formatCode="#\ ###\ ##0"/>
    <numFmt numFmtId="177" formatCode="#\ ###\ ##0\ "/>
    <numFmt numFmtId="178" formatCode="#\ ##0\ "/>
    <numFmt numFmtId="179" formatCode="0.0_ "/>
    <numFmt numFmtId="180" formatCode="0.0"/>
    <numFmt numFmtId="181" formatCode="0.00_ "/>
    <numFmt numFmtId="182" formatCode="#,##0,"/>
    <numFmt numFmtId="183" formatCode="#,##0.0_ "/>
    <numFmt numFmtId="184" formatCode="#\ ##0,"/>
    <numFmt numFmtId="185" formatCode="0.0\ "/>
    <numFmt numFmtId="186" formatCode="0.0;\-0.0\ "/>
    <numFmt numFmtId="187" formatCode="00&quot;세&quot;"/>
    <numFmt numFmtId="188" formatCode="#\ ###\ ###.0"/>
    <numFmt numFmtId="189" formatCode="0_);[Red]\(0\)"/>
    <numFmt numFmtId="190" formatCode="###\ ##0\ "/>
    <numFmt numFmtId="191" formatCode="##0"/>
    <numFmt numFmtId="192" formatCode="##0\ "/>
    <numFmt numFmtId="193" formatCode="0.0;\-0.0;0.0;"/>
    <numFmt numFmtId="194" formatCode="0.0\ ;\-0.0\ ;0.0\ ;"/>
    <numFmt numFmtId="195" formatCode="#,##0.0_ ;\-#,##0.0_ ;#,##0.0_ ;"/>
    <numFmt numFmtId="196" formatCode="##0.0\ "/>
    <numFmt numFmtId="197" formatCode="#\ ##0"/>
    <numFmt numFmtId="198" formatCode="#,##0.0_ ;\-#,##0.0_ ;\-#,##0.0_ ;"/>
  </numFmts>
  <fonts count="24">
    <font>
      <sz val="11"/>
      <name val="굴림체"/>
      <family val="3"/>
      <charset val="129"/>
    </font>
    <font>
      <sz val="11"/>
      <name val="굴림체"/>
      <family val="3"/>
      <charset val="129"/>
    </font>
    <font>
      <sz val="8"/>
      <name val="굴림체"/>
      <family val="3"/>
      <charset val="129"/>
    </font>
    <font>
      <sz val="14"/>
      <name val="굴림체"/>
      <family val="3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b/>
      <sz val="14"/>
      <name val="굴림체"/>
      <family val="3"/>
      <charset val="129"/>
    </font>
    <font>
      <sz val="11"/>
      <name val="굴림체"/>
      <family val="3"/>
      <charset val="129"/>
    </font>
    <font>
      <sz val="13"/>
      <name val="맑은 고딕"/>
      <family val="3"/>
      <charset val="129"/>
    </font>
    <font>
      <sz val="9"/>
      <name val="굴림"/>
      <family val="3"/>
      <charset val="129"/>
    </font>
    <font>
      <sz val="9"/>
      <color indexed="8"/>
      <name val="굴림체"/>
      <family val="3"/>
      <charset val="129"/>
    </font>
    <font>
      <sz val="11"/>
      <color indexed="8"/>
      <name val="맑은 고딕"/>
      <family val="3"/>
      <charset val="129"/>
    </font>
    <font>
      <sz val="9"/>
      <color indexed="8"/>
      <name val="굴림"/>
      <family val="3"/>
      <charset val="129"/>
    </font>
    <font>
      <sz val="11"/>
      <name val="맑은 고딕"/>
      <family val="3"/>
      <charset val="129"/>
    </font>
    <font>
      <sz val="10"/>
      <color indexed="8"/>
      <name val="휴먼명조,한컴돋움"/>
      <family val="3"/>
      <charset val="129"/>
    </font>
    <font>
      <sz val="10"/>
      <color indexed="8"/>
      <name val="한컴바탕"/>
      <family val="1"/>
      <charset val="129"/>
    </font>
    <font>
      <sz val="8.5"/>
      <name val="굴림체"/>
      <family val="3"/>
      <charset val="129"/>
    </font>
    <font>
      <sz val="7"/>
      <name val="굴림체"/>
      <family val="3"/>
      <charset val="129"/>
    </font>
    <font>
      <sz val="7.7"/>
      <name val="굴림체"/>
      <family val="3"/>
      <charset val="129"/>
    </font>
    <font>
      <sz val="1"/>
      <name val="굴림체"/>
      <family val="3"/>
      <charset val="129"/>
    </font>
    <font>
      <b/>
      <sz val="16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4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 diagonalUp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1" fillId="0" borderId="0">
      <alignment vertical="center"/>
    </xf>
  </cellStyleXfs>
  <cellXfs count="57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5" fillId="0" borderId="11" xfId="0" applyFont="1" applyBorder="1" applyAlignment="1">
      <alignment horizontal="justify" vertical="center" wrapText="1"/>
    </xf>
    <xf numFmtId="177" fontId="5" fillId="0" borderId="0" xfId="0" applyNumberFormat="1" applyFont="1" applyBorder="1" applyAlignment="1">
      <alignment horizontal="right" vertical="center"/>
    </xf>
    <xf numFmtId="177" fontId="5" fillId="0" borderId="0" xfId="0" applyNumberFormat="1" applyFont="1" applyFill="1" applyBorder="1" applyAlignment="1">
      <alignment horizontal="right" vertical="center"/>
    </xf>
    <xf numFmtId="0" fontId="7" fillId="0" borderId="7" xfId="0" applyFont="1" applyBorder="1" applyAlignment="1">
      <alignment horizontal="center"/>
    </xf>
    <xf numFmtId="179" fontId="5" fillId="0" borderId="0" xfId="0" applyNumberFormat="1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4" fillId="0" borderId="0" xfId="0" applyFont="1" applyFill="1"/>
    <xf numFmtId="0" fontId="5" fillId="0" borderId="0" xfId="0" applyFont="1" applyFill="1" applyAlignment="1">
      <alignment horizontal="right"/>
    </xf>
    <xf numFmtId="0" fontId="5" fillId="0" borderId="1" xfId="0" applyFont="1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Fill="1"/>
    <xf numFmtId="0" fontId="0" fillId="0" borderId="0" xfId="0" applyFill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77" fontId="5" fillId="0" borderId="0" xfId="0" applyNumberFormat="1" applyFont="1" applyBorder="1" applyAlignment="1">
      <alignment horizontal="right" vertical="top"/>
    </xf>
    <xf numFmtId="0" fontId="5" fillId="0" borderId="0" xfId="0" applyFont="1" applyAlignment="1">
      <alignment vertical="top"/>
    </xf>
    <xf numFmtId="177" fontId="4" fillId="0" borderId="0" xfId="0" applyNumberFormat="1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3" xfId="0" applyFont="1" applyBorder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Border="1" applyAlignment="1">
      <alignment horizontal="right"/>
    </xf>
    <xf numFmtId="179" fontId="5" fillId="0" borderId="0" xfId="0" applyNumberFormat="1" applyFont="1" applyBorder="1" applyAlignment="1">
      <alignment horizontal="right" vertical="top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81" fontId="5" fillId="0" borderId="0" xfId="0" applyNumberFormat="1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5" fillId="0" borderId="10" xfId="0" applyNumberFormat="1" applyFont="1" applyBorder="1" applyAlignment="1">
      <alignment vertical="center"/>
    </xf>
    <xf numFmtId="176" fontId="5" fillId="0" borderId="3" xfId="0" applyNumberFormat="1" applyFont="1" applyBorder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Alignment="1"/>
    <xf numFmtId="176" fontId="5" fillId="0" borderId="0" xfId="0" applyNumberFormat="1" applyFont="1" applyFill="1" applyBorder="1" applyAlignment="1">
      <alignment horizontal="right" vertical="top"/>
    </xf>
    <xf numFmtId="0" fontId="5" fillId="0" borderId="0" xfId="0" applyFont="1" applyBorder="1" applyAlignment="1">
      <alignment horizontal="right" vertical="center"/>
    </xf>
    <xf numFmtId="176" fontId="5" fillId="0" borderId="0" xfId="0" applyNumberFormat="1" applyFont="1" applyBorder="1" applyAlignment="1">
      <alignment horizontal="right" vertical="center"/>
    </xf>
    <xf numFmtId="182" fontId="5" fillId="0" borderId="0" xfId="0" applyNumberFormat="1" applyFont="1" applyBorder="1" applyAlignment="1">
      <alignment horizontal="right" vertical="center"/>
    </xf>
    <xf numFmtId="183" fontId="5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 applyAlignment="1"/>
    <xf numFmtId="182" fontId="5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176" fontId="5" fillId="0" borderId="0" xfId="0" applyNumberFormat="1" applyFont="1" applyBorder="1" applyAlignment="1">
      <alignment horizontal="right" vertical="top"/>
    </xf>
    <xf numFmtId="183" fontId="5" fillId="0" borderId="0" xfId="0" applyNumberFormat="1" applyFont="1" applyBorder="1" applyAlignment="1">
      <alignment horizontal="right" vertical="top"/>
    </xf>
    <xf numFmtId="182" fontId="5" fillId="0" borderId="0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left" vertical="center"/>
    </xf>
    <xf numFmtId="184" fontId="6" fillId="0" borderId="0" xfId="0" applyNumberFormat="1" applyFont="1" applyAlignment="1">
      <alignment horizontal="center"/>
    </xf>
    <xf numFmtId="184" fontId="4" fillId="0" borderId="0" xfId="0" applyNumberFormat="1" applyFont="1"/>
    <xf numFmtId="184" fontId="0" fillId="0" borderId="0" xfId="0" applyNumberFormat="1"/>
    <xf numFmtId="0" fontId="3" fillId="0" borderId="0" xfId="0" applyFont="1" applyBorder="1"/>
    <xf numFmtId="0" fontId="5" fillId="0" borderId="19" xfId="0" applyFont="1" applyBorder="1" applyAlignment="1">
      <alignment horizontal="left" vertical="center" wrapText="1"/>
    </xf>
    <xf numFmtId="178" fontId="0" fillId="0" borderId="3" xfId="0" applyNumberFormat="1" applyBorder="1" applyAlignment="1">
      <alignment vertical="center"/>
    </xf>
    <xf numFmtId="0" fontId="6" fillId="0" borderId="0" xfId="0" applyNumberFormat="1" applyFont="1" applyAlignment="1">
      <alignment horizontal="left"/>
    </xf>
    <xf numFmtId="0" fontId="5" fillId="0" borderId="20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5" fillId="0" borderId="22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6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3" xfId="0" applyFont="1" applyBorder="1"/>
    <xf numFmtId="0" fontId="7" fillId="0" borderId="0" xfId="0" applyFont="1"/>
    <xf numFmtId="0" fontId="5" fillId="0" borderId="12" xfId="0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right" vertical="top"/>
    </xf>
    <xf numFmtId="0" fontId="6" fillId="0" borderId="0" xfId="0" applyFont="1" applyFill="1" applyAlignment="1">
      <alignment horizontal="center"/>
    </xf>
    <xf numFmtId="0" fontId="3" fillId="0" borderId="0" xfId="0" applyFont="1" applyFill="1"/>
    <xf numFmtId="0" fontId="5" fillId="0" borderId="5" xfId="0" applyFont="1" applyFill="1" applyBorder="1" applyAlignment="1">
      <alignment horizontal="center" vertical="center"/>
    </xf>
    <xf numFmtId="179" fontId="5" fillId="0" borderId="0" xfId="0" applyNumberFormat="1" applyFont="1" applyFill="1" applyBorder="1" applyAlignment="1">
      <alignment horizontal="right" vertical="top"/>
    </xf>
    <xf numFmtId="179" fontId="5" fillId="0" borderId="15" xfId="0" applyNumberFormat="1" applyFont="1" applyFill="1" applyBorder="1" applyAlignment="1">
      <alignment horizontal="right" vertical="top"/>
    </xf>
    <xf numFmtId="0" fontId="5" fillId="0" borderId="26" xfId="0" applyFont="1" applyBorder="1" applyAlignment="1">
      <alignment horizontal="center" vertical="center"/>
    </xf>
    <xf numFmtId="176" fontId="5" fillId="0" borderId="9" xfId="0" applyNumberFormat="1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177" fontId="5" fillId="0" borderId="3" xfId="0" applyNumberFormat="1" applyFont="1" applyBorder="1" applyAlignment="1">
      <alignment vertical="center"/>
    </xf>
    <xf numFmtId="0" fontId="5" fillId="0" borderId="0" xfId="0" applyFont="1" applyFill="1" applyAlignment="1">
      <alignment vertical="center"/>
    </xf>
    <xf numFmtId="0" fontId="9" fillId="0" borderId="0" xfId="0" applyFont="1"/>
    <xf numFmtId="0" fontId="12" fillId="0" borderId="27" xfId="0" applyFont="1" applyBorder="1" applyAlignment="1">
      <alignment horizontal="right" wrapText="1"/>
    </xf>
    <xf numFmtId="179" fontId="9" fillId="0" borderId="0" xfId="0" applyNumberFormat="1" applyFont="1"/>
    <xf numFmtId="176" fontId="9" fillId="0" borderId="0" xfId="0" applyNumberFormat="1" applyFont="1"/>
    <xf numFmtId="176" fontId="9" fillId="0" borderId="0" xfId="0" applyNumberFormat="1" applyFont="1" applyFill="1"/>
    <xf numFmtId="179" fontId="9" fillId="0" borderId="0" xfId="0" applyNumberFormat="1" applyFont="1" applyFill="1"/>
    <xf numFmtId="0" fontId="9" fillId="0" borderId="0" xfId="0" applyFont="1" applyFill="1"/>
    <xf numFmtId="0" fontId="12" fillId="0" borderId="27" xfId="0" applyFont="1" applyFill="1" applyBorder="1" applyAlignment="1">
      <alignment horizontal="right" wrapText="1"/>
    </xf>
    <xf numFmtId="0" fontId="12" fillId="0" borderId="28" xfId="0" applyFont="1" applyFill="1" applyBorder="1" applyAlignment="1">
      <alignment horizontal="right" wrapText="1"/>
    </xf>
    <xf numFmtId="185" fontId="12" fillId="0" borderId="0" xfId="0" applyNumberFormat="1" applyFont="1" applyBorder="1" applyAlignment="1">
      <alignment horizontal="right" wrapText="1"/>
    </xf>
    <xf numFmtId="185" fontId="12" fillId="0" borderId="0" xfId="0" applyNumberFormat="1" applyFont="1" applyFill="1" applyBorder="1" applyAlignment="1">
      <alignment horizontal="right" wrapText="1"/>
    </xf>
    <xf numFmtId="185" fontId="12" fillId="0" borderId="29" xfId="0" applyNumberFormat="1" applyFont="1" applyFill="1" applyBorder="1" applyAlignment="1">
      <alignment horizontal="right" wrapText="1"/>
    </xf>
    <xf numFmtId="176" fontId="12" fillId="0" borderId="30" xfId="0" applyNumberFormat="1" applyFont="1" applyBorder="1" applyAlignment="1">
      <alignment horizontal="right" wrapText="1"/>
    </xf>
    <xf numFmtId="179" fontId="12" fillId="0" borderId="0" xfId="0" applyNumberFormat="1" applyFont="1" applyBorder="1" applyAlignment="1">
      <alignment horizontal="right" wrapText="1"/>
    </xf>
    <xf numFmtId="176" fontId="12" fillId="0" borderId="0" xfId="0" applyNumberFormat="1" applyFont="1" applyBorder="1" applyAlignment="1">
      <alignment horizontal="right" wrapText="1"/>
    </xf>
    <xf numFmtId="176" fontId="12" fillId="0" borderId="30" xfId="0" applyNumberFormat="1" applyFont="1" applyFill="1" applyBorder="1" applyAlignment="1">
      <alignment horizontal="right" wrapText="1"/>
    </xf>
    <xf numFmtId="179" fontId="12" fillId="0" borderId="0" xfId="0" applyNumberFormat="1" applyFont="1" applyFill="1" applyBorder="1" applyAlignment="1">
      <alignment horizontal="right" wrapText="1"/>
    </xf>
    <xf numFmtId="176" fontId="12" fillId="0" borderId="0" xfId="0" applyNumberFormat="1" applyFont="1" applyFill="1" applyBorder="1" applyAlignment="1">
      <alignment horizontal="right" wrapText="1"/>
    </xf>
    <xf numFmtId="176" fontId="12" fillId="0" borderId="31" xfId="0" applyNumberFormat="1" applyFont="1" applyFill="1" applyBorder="1" applyAlignment="1">
      <alignment horizontal="right" wrapText="1"/>
    </xf>
    <xf numFmtId="179" fontId="12" fillId="0" borderId="29" xfId="0" applyNumberFormat="1" applyFont="1" applyFill="1" applyBorder="1" applyAlignment="1">
      <alignment horizontal="right" wrapText="1"/>
    </xf>
    <xf numFmtId="176" fontId="12" fillId="0" borderId="29" xfId="0" applyNumberFormat="1" applyFont="1" applyFill="1" applyBorder="1" applyAlignment="1">
      <alignment horizontal="right" wrapText="1"/>
    </xf>
    <xf numFmtId="179" fontId="12" fillId="0" borderId="32" xfId="0" applyNumberFormat="1" applyFont="1" applyBorder="1" applyAlignment="1">
      <alignment horizontal="center" vertical="center" wrapText="1"/>
    </xf>
    <xf numFmtId="179" fontId="12" fillId="0" borderId="33" xfId="0" applyNumberFormat="1" applyFont="1" applyBorder="1" applyAlignment="1">
      <alignment horizontal="center" vertical="center" wrapText="1"/>
    </xf>
    <xf numFmtId="179" fontId="12" fillId="0" borderId="34" xfId="0" applyNumberFormat="1" applyFont="1" applyBorder="1" applyAlignment="1">
      <alignment horizontal="center" vertical="center" wrapText="1"/>
    </xf>
    <xf numFmtId="179" fontId="12" fillId="0" borderId="35" xfId="0" applyNumberFormat="1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right" wrapText="1"/>
    </xf>
    <xf numFmtId="0" fontId="12" fillId="0" borderId="0" xfId="0" applyFont="1" applyFill="1" applyBorder="1" applyAlignment="1">
      <alignment horizontal="right" wrapText="1"/>
    </xf>
    <xf numFmtId="0" fontId="12" fillId="0" borderId="29" xfId="0" applyFont="1" applyFill="1" applyBorder="1" applyAlignment="1">
      <alignment horizontal="right" wrapText="1"/>
    </xf>
    <xf numFmtId="186" fontId="12" fillId="0" borderId="0" xfId="0" applyNumberFormat="1" applyFont="1" applyBorder="1" applyAlignment="1">
      <alignment horizontal="right" wrapText="1"/>
    </xf>
    <xf numFmtId="186" fontId="12" fillId="0" borderId="0" xfId="0" applyNumberFormat="1" applyFont="1" applyFill="1" applyBorder="1" applyAlignment="1">
      <alignment horizontal="right" wrapText="1"/>
    </xf>
    <xf numFmtId="186" fontId="12" fillId="0" borderId="29" xfId="0" applyNumberFormat="1" applyFont="1" applyFill="1" applyBorder="1" applyAlignment="1">
      <alignment horizontal="right" wrapText="1"/>
    </xf>
    <xf numFmtId="176" fontId="9" fillId="0" borderId="30" xfId="0" applyNumberFormat="1" applyFont="1" applyBorder="1" applyAlignment="1">
      <alignment vertical="center"/>
    </xf>
    <xf numFmtId="0" fontId="12" fillId="0" borderId="38" xfId="0" applyFont="1" applyBorder="1" applyAlignment="1">
      <alignment horizontal="right" wrapText="1"/>
    </xf>
    <xf numFmtId="0" fontId="12" fillId="0" borderId="39" xfId="0" applyFont="1" applyBorder="1" applyAlignment="1">
      <alignment horizontal="right" wrapText="1"/>
    </xf>
    <xf numFmtId="176" fontId="12" fillId="0" borderId="40" xfId="0" applyNumberFormat="1" applyFont="1" applyBorder="1" applyAlignment="1">
      <alignment horizontal="right" wrapText="1"/>
    </xf>
    <xf numFmtId="179" fontId="12" fillId="0" borderId="38" xfId="0" applyNumberFormat="1" applyFont="1" applyBorder="1" applyAlignment="1">
      <alignment horizontal="right" wrapText="1"/>
    </xf>
    <xf numFmtId="176" fontId="12" fillId="0" borderId="38" xfId="0" applyNumberFormat="1" applyFont="1" applyBorder="1" applyAlignment="1">
      <alignment horizontal="right" wrapText="1"/>
    </xf>
    <xf numFmtId="185" fontId="12" fillId="0" borderId="38" xfId="0" applyNumberFormat="1" applyFont="1" applyBorder="1" applyAlignment="1">
      <alignment horizontal="right" wrapText="1"/>
    </xf>
    <xf numFmtId="186" fontId="12" fillId="0" borderId="38" xfId="0" applyNumberFormat="1" applyFont="1" applyBorder="1" applyAlignment="1">
      <alignment horizontal="right" wrapText="1"/>
    </xf>
    <xf numFmtId="0" fontId="12" fillId="0" borderId="41" xfId="0" applyFont="1" applyBorder="1" applyAlignment="1">
      <alignment horizontal="right" wrapText="1"/>
    </xf>
    <xf numFmtId="0" fontId="12" fillId="0" borderId="42" xfId="0" applyFont="1" applyBorder="1" applyAlignment="1">
      <alignment horizontal="right" wrapText="1"/>
    </xf>
    <xf numFmtId="176" fontId="12" fillId="0" borderId="43" xfId="0" applyNumberFormat="1" applyFont="1" applyBorder="1" applyAlignment="1">
      <alignment horizontal="right" wrapText="1"/>
    </xf>
    <xf numFmtId="179" fontId="12" fillId="0" borderId="41" xfId="0" applyNumberFormat="1" applyFont="1" applyBorder="1" applyAlignment="1">
      <alignment horizontal="right" wrapText="1"/>
    </xf>
    <xf numFmtId="176" fontId="12" fillId="0" borderId="41" xfId="0" applyNumberFormat="1" applyFont="1" applyBorder="1" applyAlignment="1">
      <alignment horizontal="right" wrapText="1"/>
    </xf>
    <xf numFmtId="185" fontId="12" fillId="0" borderId="41" xfId="0" applyNumberFormat="1" applyFont="1" applyBorder="1" applyAlignment="1">
      <alignment horizontal="right" wrapText="1"/>
    </xf>
    <xf numFmtId="186" fontId="12" fillId="0" borderId="41" xfId="0" applyNumberFormat="1" applyFont="1" applyBorder="1" applyAlignment="1">
      <alignment horizontal="right" wrapText="1"/>
    </xf>
    <xf numFmtId="188" fontId="11" fillId="0" borderId="0" xfId="0" applyNumberFormat="1" applyFont="1" applyFill="1" applyBorder="1" applyAlignment="1"/>
    <xf numFmtId="0" fontId="14" fillId="0" borderId="0" xfId="0" applyFont="1" applyBorder="1" applyAlignment="1">
      <alignment horizontal="right" wrapText="1"/>
    </xf>
    <xf numFmtId="0" fontId="9" fillId="0" borderId="0" xfId="0" applyFont="1" applyBorder="1"/>
    <xf numFmtId="0" fontId="12" fillId="0" borderId="15" xfId="0" applyFont="1" applyFill="1" applyBorder="1" applyAlignment="1">
      <alignment horizontal="right" wrapText="1"/>
    </xf>
    <xf numFmtId="0" fontId="12" fillId="0" borderId="44" xfId="0" applyFont="1" applyFill="1" applyBorder="1" applyAlignment="1">
      <alignment horizontal="right" wrapText="1"/>
    </xf>
    <xf numFmtId="176" fontId="12" fillId="0" borderId="45" xfId="0" applyNumberFormat="1" applyFont="1" applyFill="1" applyBorder="1" applyAlignment="1">
      <alignment horizontal="right" wrapText="1"/>
    </xf>
    <xf numFmtId="179" fontId="12" fillId="0" borderId="15" xfId="0" applyNumberFormat="1" applyFont="1" applyFill="1" applyBorder="1" applyAlignment="1">
      <alignment horizontal="right" wrapText="1"/>
    </xf>
    <xf numFmtId="176" fontId="12" fillId="0" borderId="15" xfId="0" applyNumberFormat="1" applyFont="1" applyFill="1" applyBorder="1" applyAlignment="1">
      <alignment horizontal="right" wrapText="1"/>
    </xf>
    <xf numFmtId="185" fontId="12" fillId="0" borderId="15" xfId="0" applyNumberFormat="1" applyFont="1" applyFill="1" applyBorder="1" applyAlignment="1">
      <alignment horizontal="right" wrapText="1"/>
    </xf>
    <xf numFmtId="186" fontId="12" fillId="0" borderId="15" xfId="0" applyNumberFormat="1" applyFont="1" applyFill="1" applyBorder="1" applyAlignment="1">
      <alignment horizontal="right" wrapText="1"/>
    </xf>
    <xf numFmtId="0" fontId="15" fillId="0" borderId="0" xfId="0" applyFont="1" applyAlignment="1">
      <alignment horizontal="justify"/>
    </xf>
    <xf numFmtId="183" fontId="0" fillId="0" borderId="0" xfId="0" applyNumberFormat="1" applyFont="1" applyFill="1" applyBorder="1" applyAlignment="1"/>
    <xf numFmtId="176" fontId="5" fillId="0" borderId="5" xfId="0" applyNumberFormat="1" applyFont="1" applyBorder="1" applyAlignment="1">
      <alignment horizontal="center" vertical="center"/>
    </xf>
    <xf numFmtId="17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46" xfId="0" applyFont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5" fillId="0" borderId="47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177" fontId="5" fillId="0" borderId="9" xfId="0" applyNumberFormat="1" applyFont="1" applyBorder="1" applyAlignment="1">
      <alignment horizontal="right" vertical="center"/>
    </xf>
    <xf numFmtId="177" fontId="5" fillId="0" borderId="6" xfId="0" applyNumberFormat="1" applyFont="1" applyFill="1" applyBorder="1" applyAlignment="1">
      <alignment horizontal="right" vertical="center"/>
    </xf>
    <xf numFmtId="177" fontId="0" fillId="0" borderId="0" xfId="0" applyNumberFormat="1"/>
    <xf numFmtId="0" fontId="1" fillId="0" borderId="7" xfId="0" applyFont="1" applyBorder="1" applyAlignment="1">
      <alignment horizontal="center"/>
    </xf>
    <xf numFmtId="0" fontId="0" fillId="0" borderId="10" xfId="0" applyBorder="1"/>
    <xf numFmtId="0" fontId="0" fillId="0" borderId="7" xfId="0" applyFill="1" applyBorder="1"/>
    <xf numFmtId="0" fontId="1" fillId="0" borderId="0" xfId="0" applyFont="1" applyAlignment="1">
      <alignment horizontal="center"/>
    </xf>
    <xf numFmtId="177" fontId="2" fillId="0" borderId="0" xfId="0" applyNumberFormat="1" applyFont="1" applyBorder="1" applyAlignment="1">
      <alignment horizontal="right" vertical="center"/>
    </xf>
    <xf numFmtId="177" fontId="2" fillId="0" borderId="15" xfId="0" applyNumberFormat="1" applyFont="1" applyBorder="1" applyAlignment="1">
      <alignment horizontal="right" vertical="center"/>
    </xf>
    <xf numFmtId="184" fontId="2" fillId="0" borderId="5" xfId="0" applyNumberFormat="1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/>
    </xf>
    <xf numFmtId="184" fontId="2" fillId="0" borderId="0" xfId="0" applyNumberFormat="1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11" xfId="0" applyFont="1" applyBorder="1" applyAlignment="1">
      <alignment horizontal="justify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9" xfId="0" applyFont="1" applyBorder="1" applyAlignment="1">
      <alignment horizontal="justify" vertical="center" wrapText="1"/>
    </xf>
    <xf numFmtId="0" fontId="16" fillId="0" borderId="0" xfId="0" applyFont="1"/>
    <xf numFmtId="0" fontId="16" fillId="0" borderId="6" xfId="0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horizontal="center"/>
    </xf>
    <xf numFmtId="0" fontId="16" fillId="0" borderId="3" xfId="0" applyFont="1" applyBorder="1"/>
    <xf numFmtId="0" fontId="16" fillId="0" borderId="1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 vertical="center" wrapText="1"/>
    </xf>
    <xf numFmtId="0" fontId="3" fillId="0" borderId="21" xfId="0" applyFont="1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 textRotation="255" wrapText="1"/>
    </xf>
    <xf numFmtId="179" fontId="5" fillId="0" borderId="6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center" vertical="center" textRotation="255" wrapText="1"/>
    </xf>
    <xf numFmtId="0" fontId="5" fillId="0" borderId="6" xfId="0" applyFont="1" applyBorder="1" applyAlignment="1">
      <alignment horizontal="center" vertical="center" textRotation="255" wrapText="1"/>
    </xf>
    <xf numFmtId="184" fontId="18" fillId="0" borderId="3" xfId="0" applyNumberFormat="1" applyFont="1" applyBorder="1"/>
    <xf numFmtId="0" fontId="18" fillId="0" borderId="3" xfId="0" applyFont="1" applyFill="1" applyBorder="1"/>
    <xf numFmtId="0" fontId="5" fillId="0" borderId="1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76" fontId="5" fillId="0" borderId="10" xfId="0" applyNumberFormat="1" applyFont="1" applyBorder="1" applyAlignment="1">
      <alignment horizontal="right" vertical="top"/>
    </xf>
    <xf numFmtId="176" fontId="5" fillId="0" borderId="3" xfId="0" applyNumberFormat="1" applyFont="1" applyBorder="1" applyAlignment="1">
      <alignment horizontal="right" vertical="top"/>
    </xf>
    <xf numFmtId="183" fontId="5" fillId="0" borderId="3" xfId="0" applyNumberFormat="1" applyFont="1" applyBorder="1" applyAlignment="1">
      <alignment horizontal="right" vertical="top"/>
    </xf>
    <xf numFmtId="179" fontId="5" fillId="0" borderId="3" xfId="0" applyNumberFormat="1" applyFont="1" applyBorder="1" applyAlignment="1">
      <alignment horizontal="right" vertical="top"/>
    </xf>
    <xf numFmtId="179" fontId="5" fillId="0" borderId="7" xfId="0" applyNumberFormat="1" applyFont="1" applyBorder="1" applyAlignment="1">
      <alignment horizontal="right" vertical="top"/>
    </xf>
    <xf numFmtId="0" fontId="5" fillId="0" borderId="24" xfId="0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right" vertical="center"/>
    </xf>
    <xf numFmtId="184" fontId="2" fillId="0" borderId="1" xfId="0" applyNumberFormat="1" applyFont="1" applyBorder="1" applyAlignment="1">
      <alignment horizontal="center" vertical="center" shrinkToFit="1"/>
    </xf>
    <xf numFmtId="0" fontId="0" fillId="0" borderId="21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0" fontId="22" fillId="0" borderId="0" xfId="0" applyFont="1" applyFill="1" applyAlignment="1">
      <alignment horizontal="left" vertical="top" indent="2"/>
    </xf>
    <xf numFmtId="0" fontId="22" fillId="0" borderId="0" xfId="0" applyFont="1" applyFill="1" applyAlignment="1">
      <alignment horizontal="left" vertical="center" indent="2"/>
    </xf>
    <xf numFmtId="0" fontId="3" fillId="0" borderId="21" xfId="0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0" fontId="22" fillId="0" borderId="0" xfId="0" applyFont="1" applyFill="1" applyAlignment="1">
      <alignment vertical="top"/>
    </xf>
    <xf numFmtId="0" fontId="0" fillId="0" borderId="0" xfId="0" applyFill="1" applyBorder="1" applyAlignment="1">
      <alignment horizontal="left" vertical="center"/>
    </xf>
    <xf numFmtId="0" fontId="22" fillId="0" borderId="0" xfId="0" applyFont="1" applyFill="1" applyAlignment="1">
      <alignment horizontal="left" vertical="top" indent="4"/>
    </xf>
    <xf numFmtId="0" fontId="22" fillId="0" borderId="0" xfId="0" applyFont="1" applyFill="1" applyAlignment="1">
      <alignment horizontal="left" vertical="center" indent="4"/>
    </xf>
    <xf numFmtId="189" fontId="5" fillId="0" borderId="0" xfId="0" applyNumberFormat="1" applyFont="1" applyBorder="1" applyAlignment="1">
      <alignment horizontal="right" vertical="center"/>
    </xf>
    <xf numFmtId="180" fontId="6" fillId="0" borderId="0" xfId="0" applyNumberFormat="1" applyFont="1" applyAlignment="1">
      <alignment horizontal="center"/>
    </xf>
    <xf numFmtId="180" fontId="2" fillId="0" borderId="5" xfId="0" applyNumberFormat="1" applyFont="1" applyBorder="1" applyAlignment="1">
      <alignment horizontal="center" vertical="center" shrinkToFit="1"/>
    </xf>
    <xf numFmtId="180" fontId="2" fillId="0" borderId="0" xfId="0" applyNumberFormat="1" applyFont="1" applyBorder="1" applyAlignment="1">
      <alignment vertical="center"/>
    </xf>
    <xf numFmtId="180" fontId="4" fillId="0" borderId="0" xfId="0" applyNumberFormat="1" applyFont="1" applyAlignment="1"/>
    <xf numFmtId="180" fontId="18" fillId="0" borderId="3" xfId="0" applyNumberFormat="1" applyFont="1" applyBorder="1" applyAlignment="1"/>
    <xf numFmtId="180" fontId="0" fillId="0" borderId="0" xfId="0" applyNumberFormat="1" applyAlignment="1"/>
    <xf numFmtId="180" fontId="6" fillId="0" borderId="0" xfId="0" applyNumberFormat="1" applyFont="1" applyFill="1" applyAlignment="1">
      <alignment horizontal="center"/>
    </xf>
    <xf numFmtId="180" fontId="4" fillId="0" borderId="0" xfId="0" applyNumberFormat="1" applyFont="1" applyFill="1" applyAlignment="1"/>
    <xf numFmtId="180" fontId="2" fillId="0" borderId="0" xfId="0" applyNumberFormat="1" applyFont="1" applyFill="1" applyBorder="1" applyAlignment="1">
      <alignment vertical="center"/>
    </xf>
    <xf numFmtId="180" fontId="18" fillId="0" borderId="3" xfId="0" applyNumberFormat="1" applyFont="1" applyFill="1" applyBorder="1" applyAlignment="1"/>
    <xf numFmtId="180" fontId="0" fillId="0" borderId="0" xfId="0" applyNumberFormat="1" applyFill="1" applyAlignment="1"/>
    <xf numFmtId="180" fontId="2" fillId="0" borderId="3" xfId="0" applyNumberFormat="1" applyFont="1" applyFill="1" applyBorder="1" applyAlignment="1"/>
    <xf numFmtId="180" fontId="2" fillId="0" borderId="48" xfId="0" applyNumberFormat="1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187" fontId="13" fillId="0" borderId="0" xfId="0" applyNumberFormat="1" applyFont="1" applyFill="1" applyBorder="1" applyAlignment="1">
      <alignment horizontal="center" vertical="top"/>
    </xf>
    <xf numFmtId="188" fontId="11" fillId="0" borderId="0" xfId="0" applyNumberFormat="1" applyFont="1" applyAlignment="1">
      <alignment vertical="top"/>
    </xf>
    <xf numFmtId="0" fontId="2" fillId="0" borderId="17" xfId="0" applyFont="1" applyFill="1" applyBorder="1" applyAlignment="1">
      <alignment horizontal="center" vertical="top"/>
    </xf>
    <xf numFmtId="0" fontId="2" fillId="0" borderId="9" xfId="0" applyFont="1" applyFill="1" applyBorder="1" applyAlignment="1">
      <alignment horizontal="center" vertical="top"/>
    </xf>
    <xf numFmtId="0" fontId="2" fillId="0" borderId="22" xfId="0" applyFont="1" applyFill="1" applyBorder="1" applyAlignment="1">
      <alignment horizontal="center" vertical="top"/>
    </xf>
    <xf numFmtId="0" fontId="2" fillId="0" borderId="49" xfId="0" applyFont="1" applyFill="1" applyBorder="1" applyAlignment="1">
      <alignment horizontal="center" vertical="top"/>
    </xf>
    <xf numFmtId="0" fontId="2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0" xfId="0" applyFont="1" applyAlignment="1"/>
    <xf numFmtId="0" fontId="2" fillId="0" borderId="23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5" fillId="0" borderId="6" xfId="0" applyFont="1" applyFill="1" applyBorder="1" applyAlignment="1">
      <alignment horizontal="center" vertical="top"/>
    </xf>
    <xf numFmtId="177" fontId="5" fillId="0" borderId="0" xfId="0" applyNumberFormat="1" applyFont="1" applyFill="1" applyBorder="1" applyAlignment="1">
      <alignment horizontal="right" vertical="top"/>
    </xf>
    <xf numFmtId="0" fontId="5" fillId="0" borderId="9" xfId="0" applyFont="1" applyFill="1" applyBorder="1" applyAlignment="1">
      <alignment horizontal="center" vertical="top"/>
    </xf>
    <xf numFmtId="177" fontId="5" fillId="0" borderId="0" xfId="0" quotePrefix="1" applyNumberFormat="1" applyFont="1" applyFill="1" applyBorder="1" applyAlignment="1">
      <alignment horizontal="right" vertical="top"/>
    </xf>
    <xf numFmtId="0" fontId="5" fillId="0" borderId="17" xfId="0" applyFont="1" applyFill="1" applyBorder="1" applyAlignment="1">
      <alignment horizontal="center" vertical="top"/>
    </xf>
    <xf numFmtId="0" fontId="5" fillId="0" borderId="51" xfId="0" applyFont="1" applyFill="1" applyBorder="1" applyAlignment="1">
      <alignment horizontal="center" vertical="top"/>
    </xf>
    <xf numFmtId="177" fontId="5" fillId="0" borderId="15" xfId="0" applyNumberFormat="1" applyFont="1" applyFill="1" applyBorder="1" applyAlignment="1">
      <alignment horizontal="right" vertical="top"/>
    </xf>
    <xf numFmtId="0" fontId="5" fillId="0" borderId="22" xfId="0" applyFont="1" applyFill="1" applyBorder="1" applyAlignment="1">
      <alignment horizontal="center" vertical="top"/>
    </xf>
    <xf numFmtId="0" fontId="5" fillId="0" borderId="6" xfId="0" applyFont="1" applyFill="1" applyBorder="1" applyAlignment="1">
      <alignment horizontal="center"/>
    </xf>
    <xf numFmtId="177" fontId="5" fillId="0" borderId="0" xfId="0" applyNumberFormat="1" applyFont="1" applyFill="1" applyBorder="1" applyAlignment="1">
      <alignment horizontal="right"/>
    </xf>
    <xf numFmtId="179" fontId="5" fillId="0" borderId="0" xfId="0" applyNumberFormat="1" applyFont="1" applyFill="1" applyBorder="1" applyAlignment="1">
      <alignment horizontal="right"/>
    </xf>
    <xf numFmtId="0" fontId="5" fillId="0" borderId="9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177" fontId="5" fillId="0" borderId="25" xfId="0" applyNumberFormat="1" applyFont="1" applyFill="1" applyBorder="1" applyAlignment="1">
      <alignment horizontal="right"/>
    </xf>
    <xf numFmtId="0" fontId="5" fillId="0" borderId="23" xfId="0" applyFont="1" applyBorder="1" applyAlignment="1">
      <alignment horizontal="center"/>
    </xf>
    <xf numFmtId="190" fontId="5" fillId="0" borderId="0" xfId="0" applyNumberFormat="1" applyFont="1" applyBorder="1" applyAlignment="1">
      <alignment horizontal="right" vertical="center"/>
    </xf>
    <xf numFmtId="190" fontId="5" fillId="0" borderId="0" xfId="0" applyNumberFormat="1" applyFont="1" applyFill="1" applyBorder="1" applyAlignment="1">
      <alignment horizontal="right" vertical="center"/>
    </xf>
    <xf numFmtId="190" fontId="5" fillId="0" borderId="0" xfId="0" applyNumberFormat="1" applyFont="1" applyBorder="1" applyAlignment="1">
      <alignment horizontal="right" vertical="top"/>
    </xf>
    <xf numFmtId="190" fontId="5" fillId="0" borderId="0" xfId="0" applyNumberFormat="1" applyFont="1" applyFill="1" applyBorder="1" applyAlignment="1">
      <alignment horizontal="right" vertical="top"/>
    </xf>
    <xf numFmtId="190" fontId="5" fillId="0" borderId="25" xfId="0" applyNumberFormat="1" applyFont="1" applyFill="1" applyBorder="1" applyAlignment="1">
      <alignment horizontal="right"/>
    </xf>
    <xf numFmtId="190" fontId="5" fillId="0" borderId="15" xfId="0" applyNumberFormat="1" applyFont="1" applyFill="1" applyBorder="1" applyAlignment="1">
      <alignment horizontal="right" vertical="top"/>
    </xf>
    <xf numFmtId="190" fontId="5" fillId="0" borderId="0" xfId="0" applyNumberFormat="1" applyFont="1" applyFill="1" applyBorder="1" applyAlignment="1">
      <alignment horizontal="right"/>
    </xf>
    <xf numFmtId="191" fontId="0" fillId="0" borderId="0" xfId="0" applyNumberFormat="1"/>
    <xf numFmtId="179" fontId="5" fillId="0" borderId="9" xfId="0" applyNumberFormat="1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190" fontId="5" fillId="0" borderId="25" xfId="0" applyNumberFormat="1" applyFont="1" applyBorder="1" applyAlignment="1">
      <alignment horizontal="right"/>
    </xf>
    <xf numFmtId="179" fontId="5" fillId="0" borderId="50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 vertical="top"/>
    </xf>
    <xf numFmtId="177" fontId="16" fillId="0" borderId="0" xfId="0" applyNumberFormat="1" applyFont="1" applyBorder="1" applyAlignment="1">
      <alignment horizontal="right" vertical="top"/>
    </xf>
    <xf numFmtId="0" fontId="16" fillId="0" borderId="9" xfId="0" applyFont="1" applyBorder="1" applyAlignment="1">
      <alignment horizontal="center" vertical="top"/>
    </xf>
    <xf numFmtId="0" fontId="16" fillId="0" borderId="0" xfId="0" applyFont="1" applyAlignment="1">
      <alignment vertical="top"/>
    </xf>
    <xf numFmtId="0" fontId="16" fillId="0" borderId="6" xfId="0" applyFont="1" applyFill="1" applyBorder="1" applyAlignment="1">
      <alignment horizontal="center" vertical="top"/>
    </xf>
    <xf numFmtId="177" fontId="16" fillId="0" borderId="0" xfId="0" applyNumberFormat="1" applyFont="1" applyFill="1" applyBorder="1" applyAlignment="1">
      <alignment horizontal="right" vertical="top"/>
    </xf>
    <xf numFmtId="0" fontId="16" fillId="0" borderId="9" xfId="0" applyFont="1" applyFill="1" applyBorder="1" applyAlignment="1">
      <alignment horizontal="center" vertical="top"/>
    </xf>
    <xf numFmtId="0" fontId="16" fillId="0" borderId="51" xfId="0" applyFont="1" applyFill="1" applyBorder="1" applyAlignment="1">
      <alignment horizontal="center" vertical="top"/>
    </xf>
    <xf numFmtId="177" fontId="16" fillId="0" borderId="15" xfId="0" applyNumberFormat="1" applyFont="1" applyFill="1" applyBorder="1" applyAlignment="1">
      <alignment horizontal="right" vertical="top"/>
    </xf>
    <xf numFmtId="177" fontId="16" fillId="0" borderId="15" xfId="0" applyNumberFormat="1" applyFont="1" applyBorder="1" applyAlignment="1">
      <alignment horizontal="right" vertical="top"/>
    </xf>
    <xf numFmtId="0" fontId="16" fillId="0" borderId="49" xfId="0" applyFont="1" applyFill="1" applyBorder="1" applyAlignment="1">
      <alignment horizontal="center" vertical="top"/>
    </xf>
    <xf numFmtId="0" fontId="16" fillId="0" borderId="52" xfId="0" applyFont="1" applyFill="1" applyBorder="1" applyAlignment="1">
      <alignment horizontal="center"/>
    </xf>
    <xf numFmtId="177" fontId="16" fillId="0" borderId="25" xfId="0" applyNumberFormat="1" applyFont="1" applyFill="1" applyBorder="1" applyAlignment="1">
      <alignment horizontal="right"/>
    </xf>
    <xf numFmtId="177" fontId="16" fillId="0" borderId="25" xfId="0" applyNumberFormat="1" applyFont="1" applyBorder="1" applyAlignment="1">
      <alignment horizontal="right"/>
    </xf>
    <xf numFmtId="0" fontId="16" fillId="0" borderId="50" xfId="0" applyFont="1" applyFill="1" applyBorder="1" applyAlignment="1">
      <alignment horizontal="center"/>
    </xf>
    <xf numFmtId="0" fontId="16" fillId="0" borderId="0" xfId="0" applyFont="1" applyAlignment="1"/>
    <xf numFmtId="0" fontId="16" fillId="0" borderId="6" xfId="0" applyFont="1" applyFill="1" applyBorder="1" applyAlignment="1">
      <alignment horizontal="center"/>
    </xf>
    <xf numFmtId="177" fontId="16" fillId="0" borderId="0" xfId="0" applyNumberFormat="1" applyFont="1" applyFill="1" applyBorder="1" applyAlignment="1">
      <alignment horizontal="right"/>
    </xf>
    <xf numFmtId="177" fontId="16" fillId="0" borderId="0" xfId="0" applyNumberFormat="1" applyFont="1" applyBorder="1" applyAlignment="1">
      <alignment horizontal="right"/>
    </xf>
    <xf numFmtId="0" fontId="16" fillId="0" borderId="9" xfId="0" applyFont="1" applyFill="1" applyBorder="1" applyAlignment="1">
      <alignment horizontal="center"/>
    </xf>
    <xf numFmtId="190" fontId="16" fillId="0" borderId="0" xfId="0" applyNumberFormat="1" applyFont="1" applyBorder="1" applyAlignment="1">
      <alignment horizontal="right" vertical="top"/>
    </xf>
    <xf numFmtId="190" fontId="16" fillId="0" borderId="0" xfId="0" applyNumberFormat="1" applyFont="1" applyFill="1" applyBorder="1" applyAlignment="1">
      <alignment horizontal="right" vertical="top"/>
    </xf>
    <xf numFmtId="190" fontId="16" fillId="0" borderId="15" xfId="0" applyNumberFormat="1" applyFont="1" applyFill="1" applyBorder="1" applyAlignment="1">
      <alignment horizontal="right" vertical="top"/>
    </xf>
    <xf numFmtId="190" fontId="16" fillId="0" borderId="15" xfId="0" applyNumberFormat="1" applyFont="1" applyBorder="1" applyAlignment="1">
      <alignment horizontal="right" vertical="top"/>
    </xf>
    <xf numFmtId="190" fontId="16" fillId="0" borderId="25" xfId="0" applyNumberFormat="1" applyFont="1" applyFill="1" applyBorder="1" applyAlignment="1">
      <alignment horizontal="right"/>
    </xf>
    <xf numFmtId="190" fontId="16" fillId="0" borderId="25" xfId="0" applyNumberFormat="1" applyFont="1" applyBorder="1" applyAlignment="1">
      <alignment horizontal="right"/>
    </xf>
    <xf numFmtId="190" fontId="16" fillId="0" borderId="0" xfId="0" applyNumberFormat="1" applyFont="1" applyFill="1" applyBorder="1" applyAlignment="1">
      <alignment horizontal="right"/>
    </xf>
    <xf numFmtId="190" fontId="16" fillId="0" borderId="0" xfId="0" applyNumberFormat="1" applyFont="1" applyBorder="1" applyAlignment="1">
      <alignment horizontal="right"/>
    </xf>
    <xf numFmtId="190" fontId="5" fillId="0" borderId="9" xfId="0" applyNumberFormat="1" applyFont="1" applyBorder="1" applyAlignment="1">
      <alignment horizontal="right" vertical="center"/>
    </xf>
    <xf numFmtId="190" fontId="5" fillId="0" borderId="6" xfId="0" applyNumberFormat="1" applyFont="1" applyFill="1" applyBorder="1" applyAlignment="1">
      <alignment horizontal="right" vertical="center"/>
    </xf>
    <xf numFmtId="190" fontId="2" fillId="0" borderId="0" xfId="0" applyNumberFormat="1" applyFont="1" applyBorder="1" applyAlignment="1">
      <alignment horizontal="right" vertical="center"/>
    </xf>
    <xf numFmtId="194" fontId="5" fillId="0" borderId="0" xfId="0" applyNumberFormat="1" applyFont="1" applyFill="1" applyBorder="1" applyAlignment="1">
      <alignment horizontal="right" vertical="top"/>
    </xf>
    <xf numFmtId="194" fontId="5" fillId="0" borderId="51" xfId="0" applyNumberFormat="1" applyFont="1" applyFill="1" applyBorder="1" applyAlignment="1">
      <alignment horizontal="right" vertical="top"/>
    </xf>
    <xf numFmtId="194" fontId="5" fillId="0" borderId="0" xfId="0" applyNumberFormat="1" applyFont="1" applyFill="1" applyBorder="1" applyAlignment="1">
      <alignment horizontal="right"/>
    </xf>
    <xf numFmtId="0" fontId="12" fillId="0" borderId="0" xfId="0" applyFont="1" applyBorder="1" applyAlignment="1">
      <alignment horizontal="right" vertical="center" wrapText="1"/>
    </xf>
    <xf numFmtId="177" fontId="12" fillId="0" borderId="30" xfId="0" applyNumberFormat="1" applyFont="1" applyBorder="1" applyAlignment="1">
      <alignment horizontal="right" vertical="center" wrapText="1"/>
    </xf>
    <xf numFmtId="177" fontId="12" fillId="0" borderId="0" xfId="0" applyNumberFormat="1" applyFont="1" applyBorder="1" applyAlignment="1">
      <alignment horizontal="right" vertical="center" wrapText="1"/>
    </xf>
    <xf numFmtId="177" fontId="12" fillId="0" borderId="40" xfId="0" applyNumberFormat="1" applyFont="1" applyBorder="1" applyAlignment="1">
      <alignment horizontal="right" wrapText="1"/>
    </xf>
    <xf numFmtId="177" fontId="12" fillId="0" borderId="38" xfId="0" applyNumberFormat="1" applyFont="1" applyBorder="1" applyAlignment="1">
      <alignment horizontal="right" wrapText="1"/>
    </xf>
    <xf numFmtId="177" fontId="12" fillId="0" borderId="30" xfId="0" applyNumberFormat="1" applyFont="1" applyBorder="1" applyAlignment="1">
      <alignment horizontal="right" wrapText="1"/>
    </xf>
    <xf numFmtId="177" fontId="12" fillId="0" borderId="0" xfId="0" applyNumberFormat="1" applyFont="1" applyBorder="1" applyAlignment="1">
      <alignment horizontal="right" wrapText="1"/>
    </xf>
    <xf numFmtId="0" fontId="12" fillId="0" borderId="0" xfId="0" applyFont="1" applyBorder="1" applyAlignment="1">
      <alignment horizontal="right" vertical="top" wrapText="1"/>
    </xf>
    <xf numFmtId="177" fontId="12" fillId="0" borderId="0" xfId="0" applyNumberFormat="1" applyFont="1" applyBorder="1" applyAlignment="1">
      <alignment horizontal="right" vertical="top" wrapText="1"/>
    </xf>
    <xf numFmtId="176" fontId="9" fillId="0" borderId="30" xfId="0" applyNumberFormat="1" applyFont="1" applyBorder="1" applyAlignment="1">
      <alignment vertical="top"/>
    </xf>
    <xf numFmtId="0" fontId="12" fillId="0" borderId="41" xfId="0" applyFont="1" applyBorder="1" applyAlignment="1">
      <alignment horizontal="right" vertical="top" wrapText="1"/>
    </xf>
    <xf numFmtId="177" fontId="12" fillId="0" borderId="43" xfId="0" applyNumberFormat="1" applyFont="1" applyBorder="1" applyAlignment="1">
      <alignment horizontal="right" vertical="top" wrapText="1"/>
    </xf>
    <xf numFmtId="177" fontId="12" fillId="0" borderId="41" xfId="0" applyNumberFormat="1" applyFont="1" applyBorder="1" applyAlignment="1">
      <alignment horizontal="right" vertical="top" wrapText="1"/>
    </xf>
    <xf numFmtId="0" fontId="12" fillId="0" borderId="0" xfId="0" applyFont="1" applyFill="1" applyBorder="1" applyAlignment="1">
      <alignment horizontal="right" vertical="top" wrapText="1"/>
    </xf>
    <xf numFmtId="0" fontId="12" fillId="0" borderId="15" xfId="0" applyFont="1" applyFill="1" applyBorder="1" applyAlignment="1">
      <alignment horizontal="right" vertical="top" wrapText="1"/>
    </xf>
    <xf numFmtId="177" fontId="12" fillId="0" borderId="45" xfId="0" applyNumberFormat="1" applyFont="1" applyFill="1" applyBorder="1" applyAlignment="1">
      <alignment horizontal="right" vertical="top" wrapText="1"/>
    </xf>
    <xf numFmtId="177" fontId="12" fillId="0" borderId="15" xfId="0" applyNumberFormat="1" applyFont="1" applyFill="1" applyBorder="1" applyAlignment="1">
      <alignment horizontal="right" vertical="top" wrapText="1"/>
    </xf>
    <xf numFmtId="0" fontId="12" fillId="0" borderId="29" xfId="0" applyFont="1" applyFill="1" applyBorder="1" applyAlignment="1">
      <alignment horizontal="right" vertical="top" wrapText="1"/>
    </xf>
    <xf numFmtId="177" fontId="12" fillId="0" borderId="31" xfId="0" applyNumberFormat="1" applyFont="1" applyFill="1" applyBorder="1" applyAlignment="1">
      <alignment horizontal="right" vertical="top" wrapText="1"/>
    </xf>
    <xf numFmtId="177" fontId="12" fillId="0" borderId="29" xfId="0" applyNumberFormat="1" applyFont="1" applyFill="1" applyBorder="1" applyAlignment="1">
      <alignment horizontal="right" vertical="top" wrapText="1"/>
    </xf>
    <xf numFmtId="0" fontId="8" fillId="0" borderId="53" xfId="0" applyFont="1" applyBorder="1" applyAlignment="1">
      <alignment horizontal="left" vertical="center"/>
    </xf>
    <xf numFmtId="0" fontId="20" fillId="2" borderId="21" xfId="0" applyFont="1" applyFill="1" applyBorder="1" applyAlignment="1">
      <alignment horizontal="center" vertical="center"/>
    </xf>
    <xf numFmtId="195" fontId="5" fillId="0" borderId="0" xfId="0" applyNumberFormat="1" applyFont="1" applyBorder="1" applyAlignment="1">
      <alignment horizontal="right" vertical="top"/>
    </xf>
    <xf numFmtId="0" fontId="5" fillId="0" borderId="7" xfId="0" applyFont="1" applyBorder="1" applyAlignment="1">
      <alignment horizontal="center" vertical="top"/>
    </xf>
    <xf numFmtId="195" fontId="5" fillId="0" borderId="3" xfId="0" applyNumberFormat="1" applyFont="1" applyBorder="1" applyAlignment="1">
      <alignment horizontal="right" vertical="top"/>
    </xf>
    <xf numFmtId="0" fontId="5" fillId="0" borderId="10" xfId="0" applyFont="1" applyBorder="1" applyAlignment="1">
      <alignment horizontal="center" vertical="top"/>
    </xf>
    <xf numFmtId="0" fontId="3" fillId="0" borderId="54" xfId="0" applyFont="1" applyBorder="1" applyAlignment="1">
      <alignment horizontal="center" vertical="center"/>
    </xf>
    <xf numFmtId="0" fontId="23" fillId="3" borderId="16" xfId="0" applyFont="1" applyFill="1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184" fontId="17" fillId="0" borderId="0" xfId="0" applyNumberFormat="1" applyFont="1" applyBorder="1" applyAlignment="1">
      <alignment horizontal="right" vertical="top" shrinkToFit="1"/>
    </xf>
    <xf numFmtId="180" fontId="17" fillId="0" borderId="0" xfId="0" applyNumberFormat="1" applyFont="1" applyBorder="1" applyAlignment="1">
      <alignment horizontal="right" vertical="top" shrinkToFit="1"/>
    </xf>
    <xf numFmtId="184" fontId="17" fillId="0" borderId="49" xfId="0" applyNumberFormat="1" applyFont="1" applyBorder="1" applyAlignment="1">
      <alignment horizontal="right" vertical="top" shrinkToFit="1"/>
    </xf>
    <xf numFmtId="180" fontId="17" fillId="0" borderId="15" xfId="0" applyNumberFormat="1" applyFont="1" applyBorder="1" applyAlignment="1">
      <alignment horizontal="right" vertical="top" shrinkToFit="1"/>
    </xf>
    <xf numFmtId="184" fontId="17" fillId="0" borderId="15" xfId="0" applyNumberFormat="1" applyFont="1" applyBorder="1" applyAlignment="1">
      <alignment horizontal="right" vertical="top" shrinkToFit="1"/>
    </xf>
    <xf numFmtId="180" fontId="17" fillId="0" borderId="51" xfId="0" applyNumberFormat="1" applyFont="1" applyBorder="1" applyAlignment="1">
      <alignment horizontal="right" vertical="top" shrinkToFit="1"/>
    </xf>
    <xf numFmtId="184" fontId="17" fillId="0" borderId="0" xfId="0" applyNumberFormat="1" applyFont="1" applyBorder="1" applyAlignment="1">
      <alignment horizontal="right" shrinkToFit="1"/>
    </xf>
    <xf numFmtId="180" fontId="17" fillId="0" borderId="0" xfId="0" applyNumberFormat="1" applyFont="1" applyBorder="1" applyAlignment="1">
      <alignment horizontal="right" shrinkToFit="1"/>
    </xf>
    <xf numFmtId="184" fontId="17" fillId="0" borderId="50" xfId="0" applyNumberFormat="1" applyFont="1" applyBorder="1" applyAlignment="1">
      <alignment horizontal="right" shrinkToFit="1"/>
    </xf>
    <xf numFmtId="180" fontId="17" fillId="0" borderId="25" xfId="0" applyNumberFormat="1" applyFont="1" applyBorder="1" applyAlignment="1">
      <alignment horizontal="right" shrinkToFit="1"/>
    </xf>
    <xf numFmtId="184" fontId="17" fillId="0" borderId="25" xfId="0" applyNumberFormat="1" applyFont="1" applyBorder="1" applyAlignment="1">
      <alignment horizontal="right" shrinkToFit="1"/>
    </xf>
    <xf numFmtId="180" fontId="17" fillId="0" borderId="52" xfId="0" applyNumberFormat="1" applyFont="1" applyBorder="1" applyAlignment="1">
      <alignment horizontal="right" shrinkToFit="1"/>
    </xf>
    <xf numFmtId="177" fontId="10" fillId="0" borderId="0" xfId="0" applyNumberFormat="1" applyFont="1" applyFill="1" applyBorder="1" applyAlignment="1">
      <alignment horizontal="right" vertical="center"/>
    </xf>
    <xf numFmtId="192" fontId="5" fillId="0" borderId="0" xfId="0" applyNumberFormat="1" applyFont="1" applyBorder="1" applyAlignment="1">
      <alignment horizontal="right" vertical="center"/>
    </xf>
    <xf numFmtId="196" fontId="12" fillId="0" borderId="0" xfId="0" applyNumberFormat="1" applyFont="1" applyBorder="1" applyAlignment="1">
      <alignment horizontal="right" vertical="center" wrapText="1"/>
    </xf>
    <xf numFmtId="185" fontId="12" fillId="0" borderId="0" xfId="0" applyNumberFormat="1" applyFont="1" applyBorder="1" applyAlignment="1">
      <alignment horizontal="right" vertical="center" wrapText="1"/>
    </xf>
    <xf numFmtId="186" fontId="12" fillId="0" borderId="0" xfId="0" applyNumberFormat="1" applyFont="1" applyBorder="1" applyAlignment="1">
      <alignment horizontal="right" vertical="center" wrapText="1"/>
    </xf>
    <xf numFmtId="196" fontId="12" fillId="0" borderId="38" xfId="0" applyNumberFormat="1" applyFont="1" applyBorder="1" applyAlignment="1">
      <alignment horizontal="right" wrapText="1"/>
    </xf>
    <xf numFmtId="193" fontId="12" fillId="0" borderId="38" xfId="0" applyNumberFormat="1" applyFont="1" applyBorder="1" applyAlignment="1">
      <alignment horizontal="right" wrapText="1"/>
    </xf>
    <xf numFmtId="196" fontId="12" fillId="0" borderId="0" xfId="0" applyNumberFormat="1" applyFont="1" applyBorder="1" applyAlignment="1">
      <alignment horizontal="right" wrapText="1"/>
    </xf>
    <xf numFmtId="193" fontId="12" fillId="0" borderId="0" xfId="0" applyNumberFormat="1" applyFont="1" applyBorder="1" applyAlignment="1">
      <alignment horizontal="right" wrapText="1"/>
    </xf>
    <xf numFmtId="177" fontId="12" fillId="0" borderId="30" xfId="0" applyNumberFormat="1" applyFont="1" applyBorder="1" applyAlignment="1">
      <alignment horizontal="right" vertical="top" wrapText="1"/>
    </xf>
    <xf numFmtId="196" fontId="12" fillId="0" borderId="0" xfId="0" applyNumberFormat="1" applyFont="1" applyBorder="1" applyAlignment="1">
      <alignment horizontal="right" vertical="top" wrapText="1"/>
    </xf>
    <xf numFmtId="185" fontId="12" fillId="0" borderId="0" xfId="0" applyNumberFormat="1" applyFont="1" applyBorder="1" applyAlignment="1">
      <alignment horizontal="right" vertical="top" wrapText="1"/>
    </xf>
    <xf numFmtId="186" fontId="12" fillId="0" borderId="0" xfId="0" applyNumberFormat="1" applyFont="1" applyBorder="1" applyAlignment="1">
      <alignment horizontal="right" vertical="top" wrapText="1"/>
    </xf>
    <xf numFmtId="193" fontId="12" fillId="0" borderId="0" xfId="0" applyNumberFormat="1" applyFont="1" applyBorder="1" applyAlignment="1">
      <alignment horizontal="right" vertical="top" wrapText="1"/>
    </xf>
    <xf numFmtId="196" fontId="12" fillId="0" borderId="41" xfId="0" applyNumberFormat="1" applyFont="1" applyBorder="1" applyAlignment="1">
      <alignment horizontal="right" vertical="top" wrapText="1"/>
    </xf>
    <xf numFmtId="193" fontId="12" fillId="0" borderId="41" xfId="0" applyNumberFormat="1" applyFont="1" applyBorder="1" applyAlignment="1">
      <alignment horizontal="right" vertical="top" wrapText="1"/>
    </xf>
    <xf numFmtId="177" fontId="12" fillId="0" borderId="30" xfId="0" applyNumberFormat="1" applyFont="1" applyFill="1" applyBorder="1" applyAlignment="1">
      <alignment horizontal="right" vertical="top" wrapText="1"/>
    </xf>
    <xf numFmtId="196" fontId="12" fillId="0" borderId="0" xfId="0" applyNumberFormat="1" applyFont="1" applyFill="1" applyBorder="1" applyAlignment="1">
      <alignment horizontal="right" vertical="top" wrapText="1"/>
    </xf>
    <xf numFmtId="177" fontId="12" fillId="0" borderId="0" xfId="0" applyNumberFormat="1" applyFont="1" applyFill="1" applyBorder="1" applyAlignment="1">
      <alignment horizontal="right" vertical="top" wrapText="1"/>
    </xf>
    <xf numFmtId="193" fontId="12" fillId="0" borderId="0" xfId="0" applyNumberFormat="1" applyFont="1" applyFill="1" applyBorder="1" applyAlignment="1">
      <alignment horizontal="right" vertical="top" wrapText="1"/>
    </xf>
    <xf numFmtId="196" fontId="12" fillId="0" borderId="15" xfId="0" applyNumberFormat="1" applyFont="1" applyFill="1" applyBorder="1" applyAlignment="1">
      <alignment horizontal="right" vertical="top" wrapText="1"/>
    </xf>
    <xf numFmtId="193" fontId="12" fillId="0" borderId="15" xfId="0" applyNumberFormat="1" applyFont="1" applyFill="1" applyBorder="1" applyAlignment="1">
      <alignment horizontal="right" vertical="top" wrapText="1"/>
    </xf>
    <xf numFmtId="196" fontId="12" fillId="0" borderId="29" xfId="0" applyNumberFormat="1" applyFont="1" applyFill="1" applyBorder="1" applyAlignment="1">
      <alignment horizontal="right" vertical="top" wrapText="1"/>
    </xf>
    <xf numFmtId="193" fontId="12" fillId="0" borderId="29" xfId="0" applyNumberFormat="1" applyFont="1" applyFill="1" applyBorder="1" applyAlignment="1">
      <alignment horizontal="right" vertical="top" wrapText="1"/>
    </xf>
    <xf numFmtId="197" fontId="5" fillId="0" borderId="0" xfId="0" applyNumberFormat="1" applyFont="1" applyFill="1" applyBorder="1" applyAlignment="1">
      <alignment vertical="center"/>
    </xf>
    <xf numFmtId="193" fontId="12" fillId="0" borderId="0" xfId="0" applyNumberFormat="1" applyFont="1" applyBorder="1" applyAlignment="1">
      <alignment horizontal="right" vertical="center" wrapText="1"/>
    </xf>
    <xf numFmtId="177" fontId="5" fillId="0" borderId="0" xfId="0" applyNumberFormat="1" applyFont="1" applyBorder="1" applyAlignment="1">
      <alignment horizontal="right" vertical="center"/>
    </xf>
    <xf numFmtId="177" fontId="5" fillId="0" borderId="0" xfId="0" applyNumberFormat="1" applyFont="1" applyFill="1" applyBorder="1" applyAlignment="1">
      <alignment horizontal="right" vertical="center"/>
    </xf>
    <xf numFmtId="177" fontId="5" fillId="0" borderId="15" xfId="0" applyNumberFormat="1" applyFont="1" applyFill="1" applyBorder="1" applyAlignment="1">
      <alignment horizontal="right" vertical="center"/>
    </xf>
    <xf numFmtId="0" fontId="5" fillId="0" borderId="1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77" fontId="5" fillId="0" borderId="25" xfId="0" applyNumberFormat="1" applyFont="1" applyBorder="1" applyAlignment="1">
      <alignment horizontal="right" vertical="center"/>
    </xf>
    <xf numFmtId="177" fontId="5" fillId="0" borderId="6" xfId="0" applyNumberFormat="1" applyFont="1" applyFill="1" applyBorder="1" applyAlignment="1">
      <alignment horizontal="right" vertical="center"/>
    </xf>
    <xf numFmtId="0" fontId="5" fillId="0" borderId="22" xfId="0" applyFont="1" applyBorder="1" applyAlignment="1">
      <alignment horizontal="center" vertical="center"/>
    </xf>
    <xf numFmtId="177" fontId="5" fillId="0" borderId="15" xfId="0" applyNumberFormat="1" applyFont="1" applyBorder="1" applyAlignment="1">
      <alignment horizontal="right" vertical="center"/>
    </xf>
    <xf numFmtId="0" fontId="0" fillId="0" borderId="0" xfId="0"/>
    <xf numFmtId="177" fontId="5" fillId="0" borderId="0" xfId="0" applyNumberFormat="1" applyFont="1" applyBorder="1" applyAlignment="1">
      <alignment horizontal="right" vertical="center"/>
    </xf>
    <xf numFmtId="177" fontId="5" fillId="0" borderId="0" xfId="0" applyNumberFormat="1" applyFont="1" applyFill="1" applyBorder="1" applyAlignment="1">
      <alignment horizontal="right" vertical="center"/>
    </xf>
    <xf numFmtId="177" fontId="5" fillId="0" borderId="9" xfId="0" applyNumberFormat="1" applyFont="1" applyBorder="1" applyAlignment="1">
      <alignment horizontal="right" vertical="center"/>
    </xf>
    <xf numFmtId="177" fontId="5" fillId="0" borderId="6" xfId="0" applyNumberFormat="1" applyFont="1" applyFill="1" applyBorder="1" applyAlignment="1">
      <alignment horizontal="right" vertical="center"/>
    </xf>
    <xf numFmtId="177" fontId="0" fillId="0" borderId="0" xfId="0" applyNumberFormat="1"/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81" fontId="5" fillId="0" borderId="0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vertical="center"/>
    </xf>
    <xf numFmtId="198" fontId="5" fillId="0" borderId="0" xfId="0" applyNumberFormat="1" applyFont="1" applyBorder="1" applyAlignment="1">
      <alignment horizontal="right" vertical="top"/>
    </xf>
    <xf numFmtId="177" fontId="5" fillId="0" borderId="25" xfId="0" applyNumberFormat="1" applyFont="1" applyFill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2" fillId="0" borderId="8" xfId="0" applyNumberFormat="1" applyFont="1" applyBorder="1" applyAlignment="1">
      <alignment horizontal="center" vertical="center"/>
    </xf>
    <xf numFmtId="0" fontId="2" fillId="0" borderId="26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textRotation="255"/>
    </xf>
    <xf numFmtId="0" fontId="2" fillId="0" borderId="0" xfId="0" applyFont="1" applyAlignment="1">
      <alignment horizontal="center" vertical="center" textRotation="255"/>
    </xf>
    <xf numFmtId="0" fontId="2" fillId="0" borderId="15" xfId="0" applyFont="1" applyBorder="1" applyAlignment="1">
      <alignment horizontal="center" vertical="center" textRotation="255"/>
    </xf>
    <xf numFmtId="0" fontId="2" fillId="0" borderId="52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0" borderId="51" xfId="0" applyFont="1" applyBorder="1" applyAlignment="1">
      <alignment horizontal="center" vertical="center" textRotation="255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26" xfId="0" applyNumberFormat="1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 textRotation="255"/>
    </xf>
    <xf numFmtId="0" fontId="2" fillId="0" borderId="13" xfId="0" applyFont="1" applyBorder="1" applyAlignment="1">
      <alignment horizontal="center" vertical="center" textRotation="255"/>
    </xf>
    <xf numFmtId="0" fontId="2" fillId="0" borderId="49" xfId="0" applyFont="1" applyBorder="1" applyAlignment="1">
      <alignment horizontal="center" vertical="center" textRotation="255"/>
    </xf>
    <xf numFmtId="0" fontId="2" fillId="0" borderId="18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 wrapText="1"/>
    </xf>
    <xf numFmtId="0" fontId="5" fillId="0" borderId="7" xfId="0" applyFont="1" applyBorder="1" applyAlignment="1">
      <alignment horizontal="center" vertical="center" textRotation="255" wrapText="1"/>
    </xf>
    <xf numFmtId="0" fontId="5" fillId="0" borderId="9" xfId="0" applyFont="1" applyBorder="1" applyAlignment="1">
      <alignment horizontal="center" vertical="center" textRotation="255" wrapText="1"/>
    </xf>
    <xf numFmtId="0" fontId="5" fillId="0" borderId="50" xfId="0" applyFont="1" applyBorder="1" applyAlignment="1">
      <alignment horizontal="center" vertical="center" textRotation="255" wrapText="1"/>
    </xf>
    <xf numFmtId="0" fontId="5" fillId="0" borderId="49" xfId="0" applyFont="1" applyBorder="1" applyAlignment="1">
      <alignment horizontal="center" vertical="center" textRotation="255" wrapText="1"/>
    </xf>
    <xf numFmtId="0" fontId="5" fillId="0" borderId="10" xfId="0" applyFont="1" applyBorder="1" applyAlignment="1">
      <alignment horizontal="center" vertical="center" textRotation="255" wrapText="1"/>
    </xf>
    <xf numFmtId="0" fontId="6" fillId="0" borderId="0" xfId="0" applyFont="1" applyAlignment="1">
      <alignment horizontal="left"/>
    </xf>
    <xf numFmtId="0" fontId="5" fillId="0" borderId="58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justify" vertical="center" wrapText="1"/>
    </xf>
    <xf numFmtId="0" fontId="5" fillId="0" borderId="59" xfId="0" applyFont="1" applyBorder="1" applyAlignment="1">
      <alignment horizontal="justify" vertical="center" wrapText="1"/>
    </xf>
    <xf numFmtId="0" fontId="5" fillId="0" borderId="52" xfId="0" applyFont="1" applyBorder="1" applyAlignment="1">
      <alignment horizontal="center" vertical="center" textRotation="255" wrapText="1"/>
    </xf>
    <xf numFmtId="0" fontId="5" fillId="0" borderId="51" xfId="0" applyFont="1" applyBorder="1" applyAlignment="1">
      <alignment horizontal="center" vertical="center" textRotation="255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textRotation="255"/>
    </xf>
    <xf numFmtId="0" fontId="5" fillId="0" borderId="10" xfId="0" applyFont="1" applyFill="1" applyBorder="1" applyAlignment="1">
      <alignment horizontal="center" vertical="center" textRotation="255"/>
    </xf>
    <xf numFmtId="0" fontId="5" fillId="0" borderId="6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textRotation="255"/>
    </xf>
    <xf numFmtId="0" fontId="5" fillId="0" borderId="50" xfId="0" applyFont="1" applyFill="1" applyBorder="1" applyAlignment="1">
      <alignment horizontal="center" vertical="center" textRotation="255"/>
    </xf>
    <xf numFmtId="0" fontId="5" fillId="0" borderId="49" xfId="0" applyFont="1" applyFill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/>
    </xf>
    <xf numFmtId="0" fontId="5" fillId="0" borderId="52" xfId="0" applyFont="1" applyFill="1" applyBorder="1" applyAlignment="1">
      <alignment horizontal="center" vertical="center" textRotation="255"/>
    </xf>
    <xf numFmtId="0" fontId="5" fillId="0" borderId="6" xfId="0" applyFont="1" applyFill="1" applyBorder="1" applyAlignment="1">
      <alignment horizontal="center" vertical="center" textRotation="255"/>
    </xf>
    <xf numFmtId="0" fontId="5" fillId="0" borderId="51" xfId="0" applyFont="1" applyFill="1" applyBorder="1" applyAlignment="1">
      <alignment horizontal="center" vertical="center" textRotation="255"/>
    </xf>
    <xf numFmtId="0" fontId="5" fillId="0" borderId="7" xfId="0" applyFont="1" applyFill="1" applyBorder="1" applyAlignment="1">
      <alignment horizontal="center" vertical="center" textRotation="255"/>
    </xf>
    <xf numFmtId="0" fontId="5" fillId="0" borderId="2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textRotation="255"/>
    </xf>
    <xf numFmtId="0" fontId="5" fillId="0" borderId="49" xfId="0" applyFont="1" applyBorder="1" applyAlignment="1">
      <alignment horizontal="center" vertical="center" textRotation="255"/>
    </xf>
    <xf numFmtId="0" fontId="5" fillId="0" borderId="50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 textRotation="255"/>
    </xf>
    <xf numFmtId="0" fontId="5" fillId="0" borderId="0" xfId="0" applyFont="1" applyAlignment="1">
      <alignment horizontal="center" vertical="center" textRotation="255"/>
    </xf>
    <xf numFmtId="0" fontId="5" fillId="0" borderId="15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 textRotation="255"/>
    </xf>
    <xf numFmtId="0" fontId="5" fillId="0" borderId="0" xfId="0" applyFont="1" applyBorder="1" applyAlignment="1">
      <alignment horizontal="center" vertical="center" textRotation="255"/>
    </xf>
    <xf numFmtId="0" fontId="5" fillId="0" borderId="3" xfId="0" applyFont="1" applyBorder="1" applyAlignment="1">
      <alignment horizontal="center" vertical="center" textRotation="255"/>
    </xf>
    <xf numFmtId="0" fontId="16" fillId="0" borderId="9" xfId="0" applyFont="1" applyBorder="1" applyAlignment="1">
      <alignment horizontal="center" vertical="center" textRotation="255"/>
    </xf>
    <xf numFmtId="0" fontId="16" fillId="0" borderId="50" xfId="0" applyFont="1" applyFill="1" applyBorder="1" applyAlignment="1">
      <alignment horizontal="center" vertical="center" textRotation="255"/>
    </xf>
    <xf numFmtId="0" fontId="16" fillId="0" borderId="9" xfId="0" applyFont="1" applyFill="1" applyBorder="1" applyAlignment="1">
      <alignment horizontal="center" vertical="center" textRotation="255"/>
    </xf>
    <xf numFmtId="0" fontId="16" fillId="0" borderId="49" xfId="0" applyFont="1" applyFill="1" applyBorder="1" applyAlignment="1">
      <alignment horizontal="center" vertical="center" textRotation="255"/>
    </xf>
    <xf numFmtId="0" fontId="16" fillId="0" borderId="10" xfId="0" applyFont="1" applyFill="1" applyBorder="1" applyAlignment="1">
      <alignment horizontal="center" vertical="center" textRotation="255"/>
    </xf>
    <xf numFmtId="0" fontId="16" fillId="0" borderId="6" xfId="0" applyFont="1" applyBorder="1" applyAlignment="1">
      <alignment horizontal="center" vertical="center" textRotation="255"/>
    </xf>
    <xf numFmtId="0" fontId="16" fillId="0" borderId="52" xfId="0" applyFont="1" applyFill="1" applyBorder="1" applyAlignment="1">
      <alignment horizontal="center" vertical="center" textRotation="255"/>
    </xf>
    <xf numFmtId="0" fontId="16" fillId="0" borderId="6" xfId="0" applyFont="1" applyFill="1" applyBorder="1" applyAlignment="1">
      <alignment horizontal="center" vertical="center" textRotation="255"/>
    </xf>
    <xf numFmtId="0" fontId="16" fillId="0" borderId="51" xfId="0" applyFont="1" applyFill="1" applyBorder="1" applyAlignment="1">
      <alignment horizontal="center" vertical="center" textRotation="255"/>
    </xf>
    <xf numFmtId="0" fontId="16" fillId="0" borderId="7" xfId="0" applyFont="1" applyFill="1" applyBorder="1" applyAlignment="1">
      <alignment horizontal="center" vertical="center" textRotation="255"/>
    </xf>
    <xf numFmtId="0" fontId="5" fillId="0" borderId="20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60" xfId="0" applyFont="1" applyBorder="1" applyAlignment="1">
      <alignment horizontal="justify" vertical="center"/>
    </xf>
    <xf numFmtId="0" fontId="5" fillId="0" borderId="18" xfId="0" applyFont="1" applyBorder="1" applyAlignment="1">
      <alignment horizontal="justify" vertical="center"/>
    </xf>
    <xf numFmtId="0" fontId="5" fillId="0" borderId="20" xfId="0" applyFont="1" applyBorder="1" applyAlignment="1">
      <alignment horizontal="justify" vertical="center"/>
    </xf>
    <xf numFmtId="0" fontId="5" fillId="0" borderId="60" xfId="0" applyFont="1" applyFill="1" applyBorder="1" applyAlignment="1">
      <alignment horizontal="justify" vertical="center"/>
    </xf>
    <xf numFmtId="0" fontId="5" fillId="0" borderId="18" xfId="0" applyFont="1" applyFill="1" applyBorder="1" applyAlignment="1">
      <alignment horizontal="justify" vertical="center"/>
    </xf>
    <xf numFmtId="0" fontId="12" fillId="0" borderId="62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179" fontId="12" fillId="0" borderId="64" xfId="0" applyNumberFormat="1" applyFont="1" applyBorder="1" applyAlignment="1">
      <alignment horizontal="center" vertical="center" wrapText="1"/>
    </xf>
    <xf numFmtId="179" fontId="12" fillId="0" borderId="65" xfId="0" applyNumberFormat="1" applyFont="1" applyBorder="1" applyAlignment="1">
      <alignment horizontal="center" vertical="center" wrapText="1"/>
    </xf>
    <xf numFmtId="176" fontId="12" fillId="0" borderId="67" xfId="0" applyNumberFormat="1" applyFont="1" applyBorder="1" applyAlignment="1">
      <alignment horizontal="center" vertical="center" wrapText="1"/>
    </xf>
    <xf numFmtId="176" fontId="12" fillId="0" borderId="30" xfId="0" applyNumberFormat="1" applyFont="1" applyBorder="1" applyAlignment="1">
      <alignment horizontal="center" vertical="center" wrapText="1"/>
    </xf>
    <xf numFmtId="176" fontId="12" fillId="0" borderId="68" xfId="0" applyNumberFormat="1" applyFont="1" applyBorder="1" applyAlignment="1">
      <alignment horizontal="center" vertical="center" wrapText="1"/>
    </xf>
    <xf numFmtId="176" fontId="12" fillId="0" borderId="34" xfId="0" applyNumberFormat="1" applyFont="1" applyBorder="1" applyAlignment="1">
      <alignment horizontal="center" vertical="center" wrapText="1"/>
    </xf>
    <xf numFmtId="176" fontId="12" fillId="0" borderId="69" xfId="0" applyNumberFormat="1" applyFont="1" applyBorder="1" applyAlignment="1">
      <alignment horizontal="center" vertical="center" wrapText="1"/>
    </xf>
    <xf numFmtId="176" fontId="12" fillId="0" borderId="35" xfId="0" applyNumberFormat="1" applyFont="1" applyBorder="1" applyAlignment="1">
      <alignment horizontal="center" vertical="center" wrapText="1"/>
    </xf>
    <xf numFmtId="179" fontId="12" fillId="0" borderId="67" xfId="0" applyNumberFormat="1" applyFont="1" applyBorder="1" applyAlignment="1">
      <alignment horizontal="center" vertical="center" wrapText="1"/>
    </xf>
    <xf numFmtId="179" fontId="12" fillId="0" borderId="30" xfId="0" applyNumberFormat="1" applyFont="1" applyBorder="1" applyAlignment="1">
      <alignment horizontal="center" vertical="center" wrapText="1"/>
    </xf>
    <xf numFmtId="179" fontId="12" fillId="0" borderId="68" xfId="0" applyNumberFormat="1" applyFont="1" applyBorder="1" applyAlignment="1">
      <alignment horizontal="center" vertical="center" wrapText="1"/>
    </xf>
    <xf numFmtId="179" fontId="12" fillId="0" borderId="34" xfId="0" applyNumberFormat="1" applyFont="1" applyBorder="1" applyAlignment="1">
      <alignment horizontal="center" vertical="center" wrapText="1"/>
    </xf>
    <xf numFmtId="179" fontId="12" fillId="0" borderId="69" xfId="0" applyNumberFormat="1" applyFont="1" applyBorder="1" applyAlignment="1">
      <alignment horizontal="center" vertical="center" wrapText="1"/>
    </xf>
    <xf numFmtId="179" fontId="12" fillId="0" borderId="35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59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center" vertical="center" textRotation="255"/>
    </xf>
    <xf numFmtId="0" fontId="2" fillId="0" borderId="6" xfId="0" applyFont="1" applyBorder="1"/>
    <xf numFmtId="0" fontId="5" fillId="0" borderId="52" xfId="0" applyFont="1" applyBorder="1" applyAlignment="1">
      <alignment horizontal="center" vertical="center" textRotation="255"/>
    </xf>
    <xf numFmtId="0" fontId="5" fillId="0" borderId="7" xfId="0" applyFont="1" applyBorder="1" applyAlignment="1">
      <alignment horizontal="center" vertical="center" textRotation="255"/>
    </xf>
    <xf numFmtId="0" fontId="2" fillId="0" borderId="0" xfId="0" applyFont="1" applyBorder="1"/>
    <xf numFmtId="0" fontId="2" fillId="0" borderId="70" xfId="0" applyFont="1" applyBorder="1" applyAlignment="1">
      <alignment horizontal="center" vertical="center" textRotation="255"/>
    </xf>
    <xf numFmtId="0" fontId="2" fillId="0" borderId="70" xfId="0" applyFont="1" applyBorder="1" applyAlignment="1"/>
    <xf numFmtId="0" fontId="0" fillId="0" borderId="70" xfId="0" applyBorder="1" applyAlignment="1"/>
    <xf numFmtId="0" fontId="5" fillId="0" borderId="70" xfId="0" applyFont="1" applyBorder="1" applyAlignment="1">
      <alignment horizontal="center" vertical="center" textRotation="255"/>
    </xf>
    <xf numFmtId="0" fontId="5" fillId="0" borderId="70" xfId="0" applyFont="1" applyBorder="1" applyAlignment="1"/>
    <xf numFmtId="0" fontId="5" fillId="0" borderId="71" xfId="0" applyFont="1" applyBorder="1" applyAlignment="1">
      <alignment horizontal="center" vertical="center" textRotation="255"/>
    </xf>
    <xf numFmtId="0" fontId="5" fillId="0" borderId="71" xfId="0" applyFont="1" applyBorder="1" applyAlignment="1"/>
    <xf numFmtId="0" fontId="0" fillId="0" borderId="71" xfId="0" applyBorder="1" applyAlignment="1"/>
    <xf numFmtId="0" fontId="2" fillId="0" borderId="71" xfId="0" applyFont="1" applyBorder="1" applyAlignment="1">
      <alignment horizontal="center" vertical="center" textRotation="255"/>
    </xf>
    <xf numFmtId="0" fontId="2" fillId="0" borderId="71" xfId="0" applyFont="1" applyBorder="1" applyAlignment="1"/>
    <xf numFmtId="0" fontId="6" fillId="0" borderId="0" xfId="0" applyFont="1" applyAlignment="1">
      <alignment horizontal="left" vertical="center"/>
    </xf>
    <xf numFmtId="0" fontId="5" fillId="0" borderId="60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12">
    <dxf>
      <numFmt numFmtId="191" formatCode="##0"/>
    </dxf>
    <dxf>
      <numFmt numFmtId="192" formatCode="##0\ "/>
    </dxf>
    <dxf>
      <numFmt numFmtId="192" formatCode="##0\ "/>
    </dxf>
    <dxf>
      <numFmt numFmtId="192" formatCode="##0\ "/>
    </dxf>
    <dxf>
      <numFmt numFmtId="192" formatCode="##0\ "/>
    </dxf>
    <dxf>
      <numFmt numFmtId="192" formatCode="##0\ "/>
    </dxf>
    <dxf>
      <numFmt numFmtId="192" formatCode="##0\ "/>
    </dxf>
    <dxf>
      <numFmt numFmtId="192" formatCode="##0\ "/>
    </dxf>
    <dxf>
      <numFmt numFmtId="192" formatCode="##0\ "/>
    </dxf>
    <dxf>
      <numFmt numFmtId="199" formatCode="###\ ##0"/>
    </dxf>
    <dxf>
      <numFmt numFmtId="191" formatCode="##0"/>
    </dxf>
    <dxf>
      <numFmt numFmtId="199" formatCode="###\ 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2</xdr:row>
      <xdr:rowOff>0</xdr:rowOff>
    </xdr:to>
    <xdr:pic>
      <xdr:nvPicPr>
        <xdr:cNvPr id="1058" name="_x551683872" descr="DRW00000b04060a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676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2</xdr:row>
      <xdr:rowOff>9525</xdr:rowOff>
    </xdr:to>
    <xdr:pic>
      <xdr:nvPicPr>
        <xdr:cNvPr id="1059" name="_x551683872" descr="DRW00000b04060a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9818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7"/>
  <sheetViews>
    <sheetView showGridLines="0" view="pageBreakPreview" zoomScale="70" zoomScaleNormal="70" zoomScaleSheetLayoutView="70" workbookViewId="0"/>
  </sheetViews>
  <sheetFormatPr defaultRowHeight="18.75"/>
  <cols>
    <col min="1" max="1" width="64.625" style="223" customWidth="1"/>
    <col min="2" max="2" width="9" style="94" customWidth="1"/>
    <col min="3" max="5" width="9" style="94"/>
    <col min="6" max="6" width="13.5" style="94" customWidth="1"/>
    <col min="7" max="16384" width="9" style="94"/>
  </cols>
  <sheetData>
    <row r="1" spans="1:9">
      <c r="A1" s="366"/>
      <c r="H1" s="242"/>
      <c r="I1" s="242"/>
    </row>
    <row r="2" spans="1:9" s="224" customFormat="1" ht="24.95" customHeight="1">
      <c r="A2" s="367"/>
      <c r="B2" s="368"/>
      <c r="H2" s="243"/>
      <c r="I2" s="243"/>
    </row>
    <row r="3" spans="1:9" s="224" customFormat="1" ht="24.95" customHeight="1">
      <c r="A3" s="249"/>
      <c r="B3" s="368"/>
      <c r="H3" s="249"/>
      <c r="I3" s="249"/>
    </row>
    <row r="4" spans="1:9" s="224" customFormat="1" ht="24.95" customHeight="1">
      <c r="A4" s="249"/>
      <c r="B4" s="360"/>
      <c r="C4" s="225"/>
      <c r="D4" s="225"/>
      <c r="E4" s="225"/>
      <c r="F4" s="225"/>
      <c r="G4" s="225"/>
      <c r="H4" s="249"/>
      <c r="I4" s="249"/>
    </row>
    <row r="5" spans="1:9" s="224" customFormat="1" ht="24.95" customHeight="1">
      <c r="A5" s="244" t="str">
        <f>"1. 성별 이동자 수 및 이동률 추이, 1970-"&amp;G5</f>
        <v>1. 성별 이동자 수 및 이동률 추이, 1970-2025</v>
      </c>
      <c r="B5" s="360"/>
      <c r="C5" s="225"/>
      <c r="D5" s="225"/>
      <c r="E5" s="225"/>
      <c r="F5" s="361" t="s">
        <v>181</v>
      </c>
      <c r="G5" s="361">
        <v>2025</v>
      </c>
      <c r="H5" s="248"/>
      <c r="I5" s="248"/>
    </row>
    <row r="6" spans="1:9" s="225" customFormat="1" ht="24.95" customHeight="1">
      <c r="A6" s="250"/>
      <c r="B6" s="360"/>
      <c r="H6" s="244"/>
      <c r="I6" s="244"/>
    </row>
    <row r="7" spans="1:9" s="225" customFormat="1" ht="24.95" customHeight="1">
      <c r="A7" s="245" t="str">
        <f>"2. 성․연령별 이동자 수 및 이동률 추이, "&amp;G5-20&amp;"-"&amp;G5</f>
        <v>2. 성․연령별 이동자 수 및 이동률 추이, 2005-2025</v>
      </c>
      <c r="B7" s="360"/>
      <c r="H7" s="247"/>
      <c r="I7" s="247"/>
    </row>
    <row r="8" spans="1:9" s="225" customFormat="1" ht="24.95" customHeight="1">
      <c r="A8" s="251"/>
      <c r="B8" s="360"/>
      <c r="H8" s="245"/>
      <c r="I8" s="245"/>
    </row>
    <row r="9" spans="1:9" s="225" customFormat="1" ht="24.95" customHeight="1">
      <c r="A9" s="245" t="str">
        <f>"3. 시도별 이동자 수 추이, "&amp;G5-20&amp;"-"&amp;G5</f>
        <v>3. 시도별 이동자 수 추이, 2005-2025</v>
      </c>
      <c r="B9" s="360"/>
      <c r="H9" s="247"/>
      <c r="I9" s="247"/>
    </row>
    <row r="10" spans="1:9" s="225" customFormat="1" ht="24.95" customHeight="1">
      <c r="A10" s="251"/>
      <c r="B10" s="360"/>
      <c r="H10" s="245"/>
      <c r="I10" s="245"/>
    </row>
    <row r="11" spans="1:9" s="225" customFormat="1" ht="24.95" customHeight="1">
      <c r="A11" s="245" t="str">
        <f>"4. 시도․성별 이동자 수 및 이동률, "&amp;G5</f>
        <v>4. 시도․성별 이동자 수 및 이동률, 2025</v>
      </c>
      <c r="B11" s="360"/>
      <c r="H11" s="247"/>
      <c r="I11" s="247"/>
    </row>
    <row r="12" spans="1:9" s="225" customFormat="1" ht="24.95" customHeight="1">
      <c r="A12" s="251"/>
      <c r="B12" s="94"/>
      <c r="C12" s="94"/>
      <c r="D12" s="94"/>
      <c r="E12" s="94"/>
      <c r="F12" s="94"/>
      <c r="G12" s="94"/>
      <c r="H12" s="245"/>
      <c r="I12" s="245"/>
    </row>
    <row r="13" spans="1:9" s="225" customFormat="1" ht="24.95" customHeight="1">
      <c r="A13" s="245" t="str">
        <f>"5. 시도 및 성․연령별 순이동자 수, "&amp;G5</f>
        <v>5. 시도 및 성․연령별 순이동자 수, 2025</v>
      </c>
      <c r="B13" s="94"/>
      <c r="C13" s="94"/>
      <c r="D13" s="94"/>
      <c r="E13" s="94"/>
      <c r="F13" s="94"/>
      <c r="G13" s="94"/>
      <c r="H13" s="247"/>
      <c r="I13" s="247"/>
    </row>
    <row r="14" spans="1:9" ht="24">
      <c r="A14" s="251"/>
      <c r="H14" s="245"/>
      <c r="I14" s="245"/>
    </row>
    <row r="15" spans="1:9" ht="24">
      <c r="A15" s="245" t="str">
        <f>"6. 시도 전입․전출지 및 성별 이동자 수, "&amp;G5</f>
        <v>6. 시도 전입․전출지 및 성별 이동자 수, 2025</v>
      </c>
      <c r="H15" s="247"/>
      <c r="I15" s="247"/>
    </row>
    <row r="16" spans="1:9" ht="24">
      <c r="A16" s="251"/>
      <c r="H16" s="245"/>
      <c r="I16" s="245"/>
    </row>
    <row r="17" spans="1:9" ht="24">
      <c r="A17" s="245" t="str">
        <f>"7. 시도 전입․전출지 및 성별 순이동자 수, "&amp;G5</f>
        <v>7. 시도 전입․전출지 및 성별 순이동자 수, 2025</v>
      </c>
      <c r="H17" s="247"/>
      <c r="I17" s="247"/>
    </row>
    <row r="18" spans="1:9" ht="24">
      <c r="A18" s="251"/>
      <c r="H18" s="245"/>
      <c r="I18" s="245"/>
    </row>
    <row r="19" spans="1:9" ht="24">
      <c r="A19" s="245" t="str">
        <f>"8. 수도권 이동자 수 추이, 1990-"&amp;G5</f>
        <v>8. 수도권 이동자 수 추이, 1990-2025</v>
      </c>
      <c r="H19" s="247"/>
      <c r="I19" s="247"/>
    </row>
    <row r="20" spans="1:9" ht="24">
      <c r="A20" s="251"/>
      <c r="H20" s="245"/>
      <c r="I20" s="245"/>
    </row>
    <row r="21" spans="1:9" ht="24">
      <c r="A21" s="245" t="str">
        <f>"9. 월별 인구이동 추이, "&amp;G5-2&amp;"-"&amp;G5</f>
        <v>9. 월별 인구이동 추이, 2023-2025</v>
      </c>
      <c r="H21" s="247"/>
      <c r="I21" s="247"/>
    </row>
    <row r="22" spans="1:9" ht="24">
      <c r="A22" s="251"/>
      <c r="H22" s="245"/>
      <c r="I22" s="245"/>
    </row>
    <row r="23" spans="1:9" ht="24">
      <c r="A23" s="245" t="str">
        <f>"10. 시도 및 전입사유별 이동자 수, "&amp;G5</f>
        <v>10. 시도 및 전입사유별 이동자 수, 2025</v>
      </c>
      <c r="H23" s="247"/>
      <c r="I23" s="247"/>
    </row>
    <row r="24" spans="1:9" ht="24">
      <c r="A24" s="251"/>
      <c r="H24" s="245"/>
      <c r="I24" s="245"/>
    </row>
    <row r="25" spans="1:9" ht="24">
      <c r="A25" s="245" t="str">
        <f>"※ 참고표: 이동건 수(전입신고건 수) 추이, "&amp;G5-20&amp;"-"&amp;G5</f>
        <v>※ 참고표: 이동건 수(전입신고건 수) 추이, 2005-2025</v>
      </c>
      <c r="H25" s="247"/>
      <c r="I25" s="247"/>
    </row>
    <row r="26" spans="1:9">
      <c r="A26" s="246"/>
      <c r="H26" s="242"/>
      <c r="I26" s="242"/>
    </row>
    <row r="27" spans="1:9">
      <c r="A27" s="246"/>
      <c r="H27" s="242"/>
      <c r="I27" s="242"/>
    </row>
    <row r="28" spans="1:9">
      <c r="H28" s="242"/>
      <c r="I28" s="242"/>
    </row>
    <row r="29" spans="1:9">
      <c r="H29" s="242"/>
      <c r="I29" s="242"/>
    </row>
    <row r="30" spans="1:9">
      <c r="A30" s="246"/>
      <c r="B30" s="242"/>
      <c r="C30" s="242"/>
      <c r="D30" s="242"/>
      <c r="E30" s="242"/>
      <c r="F30" s="242"/>
      <c r="G30" s="242"/>
      <c r="H30" s="242"/>
      <c r="I30" s="242"/>
    </row>
    <row r="31" spans="1:9">
      <c r="A31" s="246"/>
      <c r="B31" s="242"/>
      <c r="C31" s="242"/>
      <c r="D31" s="242"/>
      <c r="E31" s="242"/>
      <c r="F31" s="242"/>
      <c r="G31" s="242"/>
      <c r="H31" s="242"/>
      <c r="I31" s="242"/>
    </row>
    <row r="32" spans="1:9">
      <c r="A32" s="246"/>
      <c r="B32" s="242"/>
      <c r="C32" s="242"/>
      <c r="D32" s="242"/>
      <c r="E32" s="242"/>
      <c r="F32" s="242"/>
      <c r="G32" s="242"/>
      <c r="H32" s="242"/>
      <c r="I32" s="242"/>
    </row>
    <row r="37" spans="2:2">
      <c r="B37" s="178"/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87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90"/>
  <sheetViews>
    <sheetView showGridLines="0" tabSelected="1" view="pageBreakPreview" zoomScaleNormal="80" zoomScaleSheetLayoutView="100" workbookViewId="0"/>
  </sheetViews>
  <sheetFormatPr defaultColWidth="9.25" defaultRowHeight="14.25" customHeight="1"/>
  <cols>
    <col min="1" max="1" width="9.25" style="47" customWidth="1"/>
    <col min="2" max="6" width="13.75" style="70" customWidth="1"/>
    <col min="7" max="7" width="13.75" style="69" customWidth="1"/>
    <col min="8" max="12" width="8.125" style="69" customWidth="1"/>
    <col min="13" max="13" width="11.625" style="70" customWidth="1"/>
    <col min="14" max="14" width="9.25" style="25" customWidth="1"/>
    <col min="15" max="15" width="11.625" style="70" customWidth="1"/>
    <col min="16" max="16" width="9.25" style="25" customWidth="1"/>
    <col min="17" max="17" width="9.25" style="47" customWidth="1"/>
    <col min="18" max="18" width="9.25" style="252" customWidth="1"/>
    <col min="19" max="20" width="9.25" style="71" customWidth="1"/>
    <col min="21" max="16384" width="9.25" style="69"/>
  </cols>
  <sheetData>
    <row r="1" spans="1:20" s="3" customFormat="1" ht="18.75">
      <c r="A1" s="73" t="str">
        <f>"1.성별 이동자 수 및 이동률 추이, 1970-"&amp;표지!G5</f>
        <v>1.성별 이동자 수 및 이동률 추이, 1970-2025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8"/>
    </row>
    <row r="2" spans="1:20" s="3" customFormat="1" ht="15" customHeight="1" thickBot="1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56" t="s">
        <v>168</v>
      </c>
    </row>
    <row r="3" spans="1:20" s="47" customFormat="1" ht="15.75" customHeight="1">
      <c r="A3" s="433" t="s">
        <v>169</v>
      </c>
      <c r="B3" s="435" t="s">
        <v>170</v>
      </c>
      <c r="C3" s="436"/>
      <c r="D3" s="436"/>
      <c r="E3" s="436"/>
      <c r="F3" s="436"/>
      <c r="G3" s="436"/>
      <c r="H3" s="436" t="s">
        <v>170</v>
      </c>
      <c r="I3" s="436"/>
      <c r="J3" s="436"/>
      <c r="K3" s="436"/>
      <c r="L3" s="437"/>
      <c r="M3" s="437" t="s">
        <v>171</v>
      </c>
      <c r="N3" s="438"/>
      <c r="O3" s="438" t="s">
        <v>172</v>
      </c>
      <c r="P3" s="438"/>
      <c r="Q3" s="431" t="s">
        <v>173</v>
      </c>
      <c r="R3" s="77"/>
      <c r="S3" s="77"/>
      <c r="T3" s="77"/>
    </row>
    <row r="4" spans="1:20" s="47" customFormat="1" ht="15.75" customHeight="1">
      <c r="A4" s="434"/>
      <c r="B4" s="432" t="s">
        <v>174</v>
      </c>
      <c r="C4" s="439"/>
      <c r="D4" s="439"/>
      <c r="E4" s="439"/>
      <c r="F4" s="439"/>
      <c r="G4" s="439"/>
      <c r="H4" s="439" t="s">
        <v>175</v>
      </c>
      <c r="I4" s="439"/>
      <c r="J4" s="439"/>
      <c r="K4" s="439"/>
      <c r="L4" s="434"/>
      <c r="M4" s="13" t="s">
        <v>174</v>
      </c>
      <c r="N4" s="9" t="s">
        <v>175</v>
      </c>
      <c r="O4" s="9" t="s">
        <v>174</v>
      </c>
      <c r="P4" s="9" t="s">
        <v>175</v>
      </c>
      <c r="Q4" s="432"/>
      <c r="R4" s="77"/>
      <c r="S4" s="77"/>
      <c r="T4" s="77"/>
    </row>
    <row r="5" spans="1:20" s="47" customFormat="1" ht="15.75" customHeight="1">
      <c r="A5" s="434"/>
      <c r="B5" s="79" t="s">
        <v>176</v>
      </c>
      <c r="C5" s="79" t="s">
        <v>177</v>
      </c>
      <c r="D5" s="79" t="s">
        <v>178</v>
      </c>
      <c r="E5" s="79" t="s">
        <v>56</v>
      </c>
      <c r="F5" s="79" t="s">
        <v>57</v>
      </c>
      <c r="G5" s="49" t="s">
        <v>179</v>
      </c>
      <c r="H5" s="180" t="s">
        <v>176</v>
      </c>
      <c r="I5" s="79" t="s">
        <v>177</v>
      </c>
      <c r="J5" s="9" t="s">
        <v>56</v>
      </c>
      <c r="K5" s="9" t="s">
        <v>57</v>
      </c>
      <c r="L5" s="9" t="s">
        <v>179</v>
      </c>
      <c r="M5" s="180" t="s">
        <v>176</v>
      </c>
      <c r="N5" s="79" t="s">
        <v>176</v>
      </c>
      <c r="O5" s="79" t="s">
        <v>176</v>
      </c>
      <c r="P5" s="79" t="s">
        <v>176</v>
      </c>
      <c r="Q5" s="432"/>
      <c r="R5" s="77"/>
      <c r="S5" s="77"/>
      <c r="T5" s="77"/>
    </row>
    <row r="6" spans="1:20" s="47" customFormat="1" ht="5.0999999999999996" customHeight="1">
      <c r="B6" s="106"/>
      <c r="C6" s="107"/>
      <c r="D6" s="107"/>
      <c r="E6" s="107"/>
      <c r="F6" s="107"/>
      <c r="G6" s="105"/>
      <c r="H6" s="105"/>
      <c r="I6" s="105"/>
      <c r="J6" s="105"/>
      <c r="K6" s="105"/>
      <c r="L6" s="105"/>
      <c r="M6" s="107"/>
      <c r="N6" s="105"/>
      <c r="O6" s="107"/>
      <c r="P6" s="105"/>
      <c r="Q6" s="33"/>
      <c r="R6" s="77"/>
      <c r="S6" s="77"/>
      <c r="T6" s="77"/>
    </row>
    <row r="7" spans="1:20" s="84" customFormat="1" ht="11.1" customHeight="1">
      <c r="A7" s="80">
        <v>1970</v>
      </c>
      <c r="B7" s="108" t="s">
        <v>182</v>
      </c>
      <c r="C7" s="81" t="s">
        <v>91</v>
      </c>
      <c r="D7" s="81" t="s">
        <v>91</v>
      </c>
      <c r="E7" s="81" t="s">
        <v>183</v>
      </c>
      <c r="F7" s="81" t="s">
        <v>184</v>
      </c>
      <c r="G7" s="82">
        <v>113.5</v>
      </c>
      <c r="H7" s="82">
        <v>12.6</v>
      </c>
      <c r="I7" s="82" t="s">
        <v>91</v>
      </c>
      <c r="J7" s="82">
        <v>13.2</v>
      </c>
      <c r="K7" s="82">
        <v>11.9</v>
      </c>
      <c r="L7" s="82">
        <v>110.8</v>
      </c>
      <c r="M7" s="68" t="s">
        <v>185</v>
      </c>
      <c r="N7" s="57">
        <v>8.6</v>
      </c>
      <c r="O7" s="68" t="s">
        <v>186</v>
      </c>
      <c r="P7" s="57">
        <v>3.9</v>
      </c>
      <c r="Q7" s="99">
        <v>1970</v>
      </c>
      <c r="R7" s="83"/>
      <c r="S7" s="83"/>
      <c r="T7" s="83"/>
    </row>
    <row r="8" spans="1:20" s="84" customFormat="1" ht="11.1" customHeight="1">
      <c r="A8" s="80">
        <v>1971</v>
      </c>
      <c r="B8" s="108" t="s">
        <v>187</v>
      </c>
      <c r="C8" s="81" t="s">
        <v>491</v>
      </c>
      <c r="D8" s="362">
        <v>4</v>
      </c>
      <c r="E8" s="81" t="s">
        <v>188</v>
      </c>
      <c r="F8" s="81" t="s">
        <v>189</v>
      </c>
      <c r="G8" s="82">
        <v>108.2</v>
      </c>
      <c r="H8" s="82">
        <v>12.8</v>
      </c>
      <c r="I8" s="362">
        <v>0.3</v>
      </c>
      <c r="J8" s="82">
        <v>13.1</v>
      </c>
      <c r="K8" s="82">
        <v>12.5</v>
      </c>
      <c r="L8" s="82">
        <v>105.5</v>
      </c>
      <c r="M8" s="81" t="s">
        <v>190</v>
      </c>
      <c r="N8" s="57">
        <v>8.8000000000000007</v>
      </c>
      <c r="O8" s="81" t="s">
        <v>191</v>
      </c>
      <c r="P8" s="57">
        <v>4.0999999999999996</v>
      </c>
      <c r="Q8" s="99">
        <v>1971</v>
      </c>
      <c r="R8" s="83"/>
      <c r="S8" s="83"/>
      <c r="T8" s="83"/>
    </row>
    <row r="9" spans="1:20" s="84" customFormat="1" ht="11.1" customHeight="1">
      <c r="A9" s="80">
        <v>1972</v>
      </c>
      <c r="B9" s="108" t="s">
        <v>192</v>
      </c>
      <c r="C9" s="81">
        <v>-522226</v>
      </c>
      <c r="D9" s="362">
        <v>-12.4</v>
      </c>
      <c r="E9" s="81" t="s">
        <v>193</v>
      </c>
      <c r="F9" s="81" t="s">
        <v>194</v>
      </c>
      <c r="G9" s="82">
        <v>110.3</v>
      </c>
      <c r="H9" s="82">
        <v>11</v>
      </c>
      <c r="I9" s="362">
        <v>-1.8</v>
      </c>
      <c r="J9" s="82">
        <v>11.4</v>
      </c>
      <c r="K9" s="82">
        <v>10.6</v>
      </c>
      <c r="L9" s="82">
        <v>107.6</v>
      </c>
      <c r="M9" s="81" t="s">
        <v>195</v>
      </c>
      <c r="N9" s="57">
        <v>7.8</v>
      </c>
      <c r="O9" s="81" t="s">
        <v>196</v>
      </c>
      <c r="P9" s="57">
        <v>3.2</v>
      </c>
      <c r="Q9" s="99">
        <v>1972</v>
      </c>
      <c r="R9" s="83"/>
      <c r="S9" s="83"/>
      <c r="T9" s="83"/>
    </row>
    <row r="10" spans="1:20" s="84" customFormat="1" ht="11.1" customHeight="1">
      <c r="A10" s="80">
        <v>1973</v>
      </c>
      <c r="B10" s="108" t="s">
        <v>197</v>
      </c>
      <c r="C10" s="81" t="s">
        <v>468</v>
      </c>
      <c r="D10" s="362">
        <v>31.8</v>
      </c>
      <c r="E10" s="81" t="s">
        <v>198</v>
      </c>
      <c r="F10" s="81" t="s">
        <v>199</v>
      </c>
      <c r="G10" s="82">
        <v>108.2</v>
      </c>
      <c r="H10" s="82">
        <v>14.3</v>
      </c>
      <c r="I10" s="362">
        <v>3.2</v>
      </c>
      <c r="J10" s="82">
        <v>14.7</v>
      </c>
      <c r="K10" s="82">
        <v>13.8</v>
      </c>
      <c r="L10" s="82">
        <v>105.9</v>
      </c>
      <c r="M10" s="81" t="s">
        <v>200</v>
      </c>
      <c r="N10" s="57">
        <v>10.1</v>
      </c>
      <c r="O10" s="81" t="s">
        <v>201</v>
      </c>
      <c r="P10" s="57">
        <v>4.2</v>
      </c>
      <c r="Q10" s="99">
        <v>1973</v>
      </c>
      <c r="R10" s="83"/>
      <c r="S10" s="83"/>
      <c r="T10" s="83"/>
    </row>
    <row r="11" spans="1:20" s="84" customFormat="1" ht="11.1" customHeight="1">
      <c r="A11" s="80">
        <v>1974</v>
      </c>
      <c r="B11" s="108" t="s">
        <v>202</v>
      </c>
      <c r="C11" s="81" t="s">
        <v>469</v>
      </c>
      <c r="D11" s="362">
        <v>9</v>
      </c>
      <c r="E11" s="81" t="s">
        <v>203</v>
      </c>
      <c r="F11" s="81" t="s">
        <v>204</v>
      </c>
      <c r="G11" s="82">
        <v>108.1</v>
      </c>
      <c r="H11" s="82">
        <v>15.3</v>
      </c>
      <c r="I11" s="362">
        <v>1</v>
      </c>
      <c r="J11" s="82">
        <v>15.7</v>
      </c>
      <c r="K11" s="82">
        <v>14.8</v>
      </c>
      <c r="L11" s="82">
        <v>106</v>
      </c>
      <c r="M11" s="81" t="s">
        <v>205</v>
      </c>
      <c r="N11" s="57">
        <v>10.7</v>
      </c>
      <c r="O11" s="81" t="s">
        <v>206</v>
      </c>
      <c r="P11" s="57">
        <v>4.5999999999999996</v>
      </c>
      <c r="Q11" s="99">
        <v>1974</v>
      </c>
      <c r="R11" s="83"/>
      <c r="S11" s="83"/>
      <c r="T11" s="83"/>
    </row>
    <row r="12" spans="1:20" s="84" customFormat="1" ht="11.1" customHeight="1">
      <c r="A12" s="80">
        <v>1975</v>
      </c>
      <c r="B12" s="108" t="s">
        <v>207</v>
      </c>
      <c r="C12" s="81" t="s">
        <v>470</v>
      </c>
      <c r="D12" s="362">
        <v>70.099999999999994</v>
      </c>
      <c r="E12" s="81" t="s">
        <v>208</v>
      </c>
      <c r="F12" s="81" t="s">
        <v>209</v>
      </c>
      <c r="G12" s="82">
        <v>100</v>
      </c>
      <c r="H12" s="82">
        <v>25.5</v>
      </c>
      <c r="I12" s="362">
        <v>10.3</v>
      </c>
      <c r="J12" s="82">
        <v>25.4</v>
      </c>
      <c r="K12" s="82">
        <v>25.7</v>
      </c>
      <c r="L12" s="82">
        <v>98.6</v>
      </c>
      <c r="M12" s="81" t="s">
        <v>210</v>
      </c>
      <c r="N12" s="57">
        <v>17.399999999999999</v>
      </c>
      <c r="O12" s="81" t="s">
        <v>211</v>
      </c>
      <c r="P12" s="57">
        <v>8.1</v>
      </c>
      <c r="Q12" s="99">
        <v>1975</v>
      </c>
      <c r="R12" s="83"/>
      <c r="S12" s="83"/>
      <c r="T12" s="83"/>
    </row>
    <row r="13" spans="1:20" s="84" customFormat="1" ht="11.1" customHeight="1">
      <c r="A13" s="80">
        <v>1976</v>
      </c>
      <c r="B13" s="108" t="s">
        <v>212</v>
      </c>
      <c r="C13" s="81">
        <v>-2238190</v>
      </c>
      <c r="D13" s="362">
        <v>-24.8</v>
      </c>
      <c r="E13" s="81" t="s">
        <v>213</v>
      </c>
      <c r="F13" s="81" t="s">
        <v>214</v>
      </c>
      <c r="G13" s="82">
        <v>111.9</v>
      </c>
      <c r="H13" s="82">
        <v>18.899999999999999</v>
      </c>
      <c r="I13" s="362">
        <v>-6.6</v>
      </c>
      <c r="J13" s="82">
        <v>19.8</v>
      </c>
      <c r="K13" s="82">
        <v>18</v>
      </c>
      <c r="L13" s="82">
        <v>110.2</v>
      </c>
      <c r="M13" s="81" t="s">
        <v>215</v>
      </c>
      <c r="N13" s="57">
        <v>12.9</v>
      </c>
      <c r="O13" s="81" t="s">
        <v>216</v>
      </c>
      <c r="P13" s="57">
        <v>6</v>
      </c>
      <c r="Q13" s="99">
        <v>1976</v>
      </c>
      <c r="R13" s="83"/>
      <c r="S13" s="83"/>
      <c r="T13" s="83"/>
    </row>
    <row r="14" spans="1:20" s="84" customFormat="1" ht="11.1" customHeight="1">
      <c r="A14" s="80">
        <v>1977</v>
      </c>
      <c r="B14" s="108" t="s">
        <v>217</v>
      </c>
      <c r="C14" s="81" t="s">
        <v>471</v>
      </c>
      <c r="D14" s="362">
        <v>9.1999999999999993</v>
      </c>
      <c r="E14" s="81" t="s">
        <v>218</v>
      </c>
      <c r="F14" s="81" t="s">
        <v>219</v>
      </c>
      <c r="G14" s="82">
        <v>112.3</v>
      </c>
      <c r="H14" s="82">
        <v>20.3</v>
      </c>
      <c r="I14" s="362">
        <v>1.4</v>
      </c>
      <c r="J14" s="82">
        <v>21.3</v>
      </c>
      <c r="K14" s="82">
        <v>19.3</v>
      </c>
      <c r="L14" s="82">
        <v>110.5</v>
      </c>
      <c r="M14" s="81" t="s">
        <v>220</v>
      </c>
      <c r="N14" s="57">
        <v>14.4</v>
      </c>
      <c r="O14" s="81" t="s">
        <v>221</v>
      </c>
      <c r="P14" s="57">
        <v>5.9</v>
      </c>
      <c r="Q14" s="99">
        <v>1977</v>
      </c>
      <c r="R14" s="83"/>
      <c r="S14" s="83"/>
      <c r="T14" s="83"/>
    </row>
    <row r="15" spans="1:20" s="84" customFormat="1" ht="11.1" customHeight="1">
      <c r="A15" s="80">
        <v>1978</v>
      </c>
      <c r="B15" s="108" t="s">
        <v>222</v>
      </c>
      <c r="C15" s="81" t="s">
        <v>490</v>
      </c>
      <c r="D15" s="362">
        <v>13.7</v>
      </c>
      <c r="E15" s="81" t="s">
        <v>223</v>
      </c>
      <c r="F15" s="81" t="s">
        <v>224</v>
      </c>
      <c r="G15" s="82">
        <v>109.1</v>
      </c>
      <c r="H15" s="82">
        <v>22.7</v>
      </c>
      <c r="I15" s="362">
        <v>2.4</v>
      </c>
      <c r="J15" s="82">
        <v>23.5</v>
      </c>
      <c r="K15" s="82">
        <v>21.9</v>
      </c>
      <c r="L15" s="82">
        <v>107.3</v>
      </c>
      <c r="M15" s="81" t="s">
        <v>225</v>
      </c>
      <c r="N15" s="57">
        <v>15.9</v>
      </c>
      <c r="O15" s="81" t="s">
        <v>226</v>
      </c>
      <c r="P15" s="57">
        <v>6.9</v>
      </c>
      <c r="Q15" s="99">
        <v>1978</v>
      </c>
      <c r="R15" s="83"/>
      <c r="S15" s="83"/>
      <c r="T15" s="83"/>
    </row>
    <row r="16" spans="1:20" s="84" customFormat="1" ht="18" customHeight="1">
      <c r="A16" s="80">
        <v>1979</v>
      </c>
      <c r="B16" s="108" t="s">
        <v>227</v>
      </c>
      <c r="C16" s="81">
        <v>-1085896</v>
      </c>
      <c r="D16" s="362">
        <v>-12.9</v>
      </c>
      <c r="E16" s="81" t="s">
        <v>228</v>
      </c>
      <c r="F16" s="81" t="s">
        <v>229</v>
      </c>
      <c r="G16" s="82">
        <v>114.2</v>
      </c>
      <c r="H16" s="82">
        <v>19.5</v>
      </c>
      <c r="I16" s="362">
        <v>-3.2</v>
      </c>
      <c r="J16" s="82">
        <v>20.6</v>
      </c>
      <c r="K16" s="82">
        <v>18.399999999999999</v>
      </c>
      <c r="L16" s="82">
        <v>112.2</v>
      </c>
      <c r="M16" s="81" t="s">
        <v>230</v>
      </c>
      <c r="N16" s="57">
        <v>13.3</v>
      </c>
      <c r="O16" s="81" t="s">
        <v>231</v>
      </c>
      <c r="P16" s="57">
        <v>6.3</v>
      </c>
      <c r="Q16" s="99">
        <v>1979</v>
      </c>
      <c r="R16" s="83"/>
      <c r="S16" s="83"/>
      <c r="T16" s="83"/>
    </row>
    <row r="17" spans="1:20" s="84" customFormat="1" ht="11.1" customHeight="1">
      <c r="A17" s="80">
        <v>1980</v>
      </c>
      <c r="B17" s="108" t="s">
        <v>232</v>
      </c>
      <c r="C17" s="81" t="s">
        <v>472</v>
      </c>
      <c r="D17" s="362">
        <v>12.8</v>
      </c>
      <c r="E17" s="81" t="s">
        <v>233</v>
      </c>
      <c r="F17" s="81" t="s">
        <v>234</v>
      </c>
      <c r="G17" s="82">
        <v>107.3</v>
      </c>
      <c r="H17" s="82">
        <v>21.7</v>
      </c>
      <c r="I17" s="362">
        <v>2.1</v>
      </c>
      <c r="J17" s="82">
        <v>22.2</v>
      </c>
      <c r="K17" s="82">
        <v>21.1</v>
      </c>
      <c r="L17" s="82">
        <v>105.4</v>
      </c>
      <c r="M17" s="81" t="s">
        <v>235</v>
      </c>
      <c r="N17" s="57">
        <v>14.8</v>
      </c>
      <c r="O17" s="81" t="s">
        <v>236</v>
      </c>
      <c r="P17" s="57">
        <v>6.8</v>
      </c>
      <c r="Q17" s="99">
        <v>1980</v>
      </c>
      <c r="R17" s="83"/>
      <c r="S17" s="83"/>
      <c r="T17" s="83"/>
    </row>
    <row r="18" spans="1:20" s="84" customFormat="1" ht="11.1" customHeight="1">
      <c r="A18" s="80">
        <v>1981</v>
      </c>
      <c r="B18" s="108" t="s">
        <v>237</v>
      </c>
      <c r="C18" s="81">
        <v>-64057</v>
      </c>
      <c r="D18" s="362">
        <v>-0.8</v>
      </c>
      <c r="E18" s="81" t="s">
        <v>238</v>
      </c>
      <c r="F18" s="81" t="s">
        <v>239</v>
      </c>
      <c r="G18" s="82">
        <v>106.3</v>
      </c>
      <c r="H18" s="82">
        <v>21.2</v>
      </c>
      <c r="I18" s="362">
        <v>-0.5</v>
      </c>
      <c r="J18" s="82">
        <v>21.6</v>
      </c>
      <c r="K18" s="82">
        <v>20.7</v>
      </c>
      <c r="L18" s="82">
        <v>104.4</v>
      </c>
      <c r="M18" s="68" t="s">
        <v>240</v>
      </c>
      <c r="N18" s="57">
        <v>13.9</v>
      </c>
      <c r="O18" s="68" t="s">
        <v>241</v>
      </c>
      <c r="P18" s="57">
        <v>7.2</v>
      </c>
      <c r="Q18" s="99">
        <v>1981</v>
      </c>
      <c r="R18" s="83"/>
      <c r="S18" s="83"/>
      <c r="T18" s="83"/>
    </row>
    <row r="19" spans="1:20" s="84" customFormat="1" ht="11.1" customHeight="1">
      <c r="A19" s="80">
        <v>1982</v>
      </c>
      <c r="B19" s="108" t="s">
        <v>242</v>
      </c>
      <c r="C19" s="81" t="s">
        <v>473</v>
      </c>
      <c r="D19" s="362">
        <v>5.0999999999999996</v>
      </c>
      <c r="E19" s="81" t="s">
        <v>243</v>
      </c>
      <c r="F19" s="81" t="s">
        <v>244</v>
      </c>
      <c r="G19" s="82">
        <v>106.6</v>
      </c>
      <c r="H19" s="82">
        <v>21.9</v>
      </c>
      <c r="I19" s="362">
        <v>0.7</v>
      </c>
      <c r="J19" s="82">
        <v>22.4</v>
      </c>
      <c r="K19" s="82">
        <v>21.4</v>
      </c>
      <c r="L19" s="82">
        <v>104.8</v>
      </c>
      <c r="M19" s="81" t="s">
        <v>245</v>
      </c>
      <c r="N19" s="57">
        <v>14.8</v>
      </c>
      <c r="O19" s="81" t="s">
        <v>246</v>
      </c>
      <c r="P19" s="57">
        <v>7.1</v>
      </c>
      <c r="Q19" s="99">
        <v>1982</v>
      </c>
      <c r="R19" s="83"/>
      <c r="S19" s="83"/>
      <c r="T19" s="83"/>
    </row>
    <row r="20" spans="1:20" s="84" customFormat="1" ht="11.1" customHeight="1">
      <c r="A20" s="80">
        <v>1983</v>
      </c>
      <c r="B20" s="108" t="s">
        <v>247</v>
      </c>
      <c r="C20" s="81" t="s">
        <v>474</v>
      </c>
      <c r="D20" s="362">
        <v>13.7</v>
      </c>
      <c r="E20" s="81" t="s">
        <v>248</v>
      </c>
      <c r="F20" s="81" t="s">
        <v>249</v>
      </c>
      <c r="G20" s="82">
        <v>103.5</v>
      </c>
      <c r="H20" s="82">
        <v>24.5</v>
      </c>
      <c r="I20" s="362">
        <v>2.6</v>
      </c>
      <c r="J20" s="82">
        <v>24.8</v>
      </c>
      <c r="K20" s="82">
        <v>24.3</v>
      </c>
      <c r="L20" s="82">
        <v>101.7</v>
      </c>
      <c r="M20" s="81" t="s">
        <v>250</v>
      </c>
      <c r="N20" s="57">
        <v>16.5</v>
      </c>
      <c r="O20" s="81" t="s">
        <v>251</v>
      </c>
      <c r="P20" s="57">
        <v>8</v>
      </c>
      <c r="Q20" s="99">
        <v>1983</v>
      </c>
      <c r="R20" s="83"/>
      <c r="S20" s="83"/>
      <c r="T20" s="83"/>
    </row>
    <row r="21" spans="1:20" s="84" customFormat="1" ht="11.1" customHeight="1">
      <c r="A21" s="80">
        <v>1984</v>
      </c>
      <c r="B21" s="108" t="s">
        <v>252</v>
      </c>
      <c r="C21" s="81">
        <v>-752573</v>
      </c>
      <c r="D21" s="362">
        <v>-7.7</v>
      </c>
      <c r="E21" s="81" t="s">
        <v>253</v>
      </c>
      <c r="F21" s="81" t="s">
        <v>254</v>
      </c>
      <c r="G21" s="82">
        <v>105.1</v>
      </c>
      <c r="H21" s="82">
        <v>22.4</v>
      </c>
      <c r="I21" s="362">
        <v>-2.2000000000000002</v>
      </c>
      <c r="J21" s="82">
        <v>22.7</v>
      </c>
      <c r="K21" s="82">
        <v>22</v>
      </c>
      <c r="L21" s="82">
        <v>103.3</v>
      </c>
      <c r="M21" s="81" t="s">
        <v>255</v>
      </c>
      <c r="N21" s="57">
        <v>14.9</v>
      </c>
      <c r="O21" s="81" t="s">
        <v>256</v>
      </c>
      <c r="P21" s="57">
        <v>7.4</v>
      </c>
      <c r="Q21" s="99">
        <v>1984</v>
      </c>
      <c r="R21" s="83"/>
      <c r="S21" s="83"/>
      <c r="T21" s="83"/>
    </row>
    <row r="22" spans="1:20" s="84" customFormat="1" ht="11.1" customHeight="1">
      <c r="A22" s="80">
        <v>1985</v>
      </c>
      <c r="B22" s="108" t="s">
        <v>257</v>
      </c>
      <c r="C22" s="81">
        <v>-364141</v>
      </c>
      <c r="D22" s="362">
        <v>-4</v>
      </c>
      <c r="E22" s="81" t="s">
        <v>258</v>
      </c>
      <c r="F22" s="81" t="s">
        <v>259</v>
      </c>
      <c r="G22" s="82">
        <v>104.7</v>
      </c>
      <c r="H22" s="82">
        <v>21.3</v>
      </c>
      <c r="I22" s="362">
        <v>-1.1000000000000001</v>
      </c>
      <c r="J22" s="82">
        <v>21.6</v>
      </c>
      <c r="K22" s="82">
        <v>21</v>
      </c>
      <c r="L22" s="82">
        <v>103</v>
      </c>
      <c r="M22" s="81" t="s">
        <v>260</v>
      </c>
      <c r="N22" s="57">
        <v>14.1</v>
      </c>
      <c r="O22" s="81" t="s">
        <v>261</v>
      </c>
      <c r="P22" s="57">
        <v>7.2</v>
      </c>
      <c r="Q22" s="99">
        <v>1985</v>
      </c>
      <c r="R22" s="83"/>
      <c r="S22" s="83"/>
      <c r="T22" s="83"/>
    </row>
    <row r="23" spans="1:20" s="84" customFormat="1" ht="11.1" customHeight="1">
      <c r="A23" s="80">
        <v>1986</v>
      </c>
      <c r="B23" s="108" t="s">
        <v>262</v>
      </c>
      <c r="C23" s="81">
        <v>-18669</v>
      </c>
      <c r="D23" s="362">
        <v>-0.2</v>
      </c>
      <c r="E23" s="81" t="s">
        <v>263</v>
      </c>
      <c r="F23" s="81" t="s">
        <v>264</v>
      </c>
      <c r="G23" s="82">
        <v>104.7</v>
      </c>
      <c r="H23" s="82">
        <v>21</v>
      </c>
      <c r="I23" s="362">
        <v>-0.3</v>
      </c>
      <c r="J23" s="82">
        <v>21.3</v>
      </c>
      <c r="K23" s="82">
        <v>20.7</v>
      </c>
      <c r="L23" s="82">
        <v>103.1</v>
      </c>
      <c r="M23" s="81" t="s">
        <v>265</v>
      </c>
      <c r="N23" s="57">
        <v>13.7</v>
      </c>
      <c r="O23" s="81" t="s">
        <v>266</v>
      </c>
      <c r="P23" s="57">
        <v>7.3</v>
      </c>
      <c r="Q23" s="99">
        <v>1986</v>
      </c>
      <c r="R23" s="83"/>
      <c r="S23" s="83"/>
      <c r="T23" s="83"/>
    </row>
    <row r="24" spans="1:20" s="84" customFormat="1" ht="11.1" customHeight="1">
      <c r="A24" s="80">
        <v>1987</v>
      </c>
      <c r="B24" s="108" t="s">
        <v>267</v>
      </c>
      <c r="C24" s="81" t="s">
        <v>475</v>
      </c>
      <c r="D24" s="362">
        <v>7.5</v>
      </c>
      <c r="E24" s="81" t="s">
        <v>268</v>
      </c>
      <c r="F24" s="81" t="s">
        <v>269</v>
      </c>
      <c r="G24" s="82">
        <v>103</v>
      </c>
      <c r="H24" s="82">
        <v>22.4</v>
      </c>
      <c r="I24" s="362">
        <v>1.4</v>
      </c>
      <c r="J24" s="82">
        <v>22.5</v>
      </c>
      <c r="K24" s="82">
        <v>22.2</v>
      </c>
      <c r="L24" s="82">
        <v>101.6</v>
      </c>
      <c r="M24" s="81" t="s">
        <v>270</v>
      </c>
      <c r="N24" s="57">
        <v>14.6</v>
      </c>
      <c r="O24" s="81" t="s">
        <v>271</v>
      </c>
      <c r="P24" s="57">
        <v>7.8</v>
      </c>
      <c r="Q24" s="99">
        <v>1987</v>
      </c>
      <c r="R24" s="83"/>
      <c r="S24" s="83"/>
      <c r="T24" s="83"/>
    </row>
    <row r="25" spans="1:20" s="84" customFormat="1" ht="11.1" customHeight="1">
      <c r="A25" s="80">
        <v>1988</v>
      </c>
      <c r="B25" s="108" t="s">
        <v>272</v>
      </c>
      <c r="C25" s="81" t="s">
        <v>476</v>
      </c>
      <c r="D25" s="362">
        <v>7.1</v>
      </c>
      <c r="E25" s="81" t="s">
        <v>273</v>
      </c>
      <c r="F25" s="81" t="s">
        <v>274</v>
      </c>
      <c r="G25" s="82">
        <v>103.1</v>
      </c>
      <c r="H25" s="82">
        <v>23.7</v>
      </c>
      <c r="I25" s="362">
        <v>1.4</v>
      </c>
      <c r="J25" s="82">
        <v>23.9</v>
      </c>
      <c r="K25" s="82">
        <v>23.5</v>
      </c>
      <c r="L25" s="82">
        <v>101.7</v>
      </c>
      <c r="M25" s="81" t="s">
        <v>275</v>
      </c>
      <c r="N25" s="57">
        <v>15.7</v>
      </c>
      <c r="O25" s="81" t="s">
        <v>276</v>
      </c>
      <c r="P25" s="57">
        <v>8</v>
      </c>
      <c r="Q25" s="99">
        <v>1988</v>
      </c>
      <c r="R25" s="83"/>
      <c r="S25" s="83"/>
      <c r="T25" s="83"/>
    </row>
    <row r="26" spans="1:20" s="84" customFormat="1" ht="18" customHeight="1">
      <c r="A26" s="80">
        <v>1989</v>
      </c>
      <c r="B26" s="108" t="s">
        <v>277</v>
      </c>
      <c r="C26" s="81">
        <v>-652801</v>
      </c>
      <c r="D26" s="362">
        <v>-6.5</v>
      </c>
      <c r="E26" s="81" t="s">
        <v>278</v>
      </c>
      <c r="F26" s="81" t="s">
        <v>279</v>
      </c>
      <c r="G26" s="82">
        <v>102.7</v>
      </c>
      <c r="H26" s="82">
        <v>21.9</v>
      </c>
      <c r="I26" s="362">
        <v>-1.8</v>
      </c>
      <c r="J26" s="82">
        <v>22.1</v>
      </c>
      <c r="K26" s="82">
        <v>21.8</v>
      </c>
      <c r="L26" s="82">
        <v>101.4</v>
      </c>
      <c r="M26" s="81" t="s">
        <v>280</v>
      </c>
      <c r="N26" s="57">
        <v>14.4</v>
      </c>
      <c r="O26" s="81" t="s">
        <v>281</v>
      </c>
      <c r="P26" s="57">
        <v>7.5</v>
      </c>
      <c r="Q26" s="99">
        <v>1989</v>
      </c>
      <c r="R26" s="83"/>
      <c r="S26" s="83"/>
      <c r="T26" s="83"/>
    </row>
    <row r="27" spans="1:20" s="84" customFormat="1" ht="11.1" customHeight="1">
      <c r="A27" s="80">
        <v>1990</v>
      </c>
      <c r="B27" s="108" t="s">
        <v>282</v>
      </c>
      <c r="C27" s="81" t="s">
        <v>477</v>
      </c>
      <c r="D27" s="362">
        <v>1.5</v>
      </c>
      <c r="E27" s="81" t="s">
        <v>283</v>
      </c>
      <c r="F27" s="81" t="s">
        <v>284</v>
      </c>
      <c r="G27" s="82">
        <v>103.3</v>
      </c>
      <c r="H27" s="82">
        <v>22.1</v>
      </c>
      <c r="I27" s="362">
        <v>0.1</v>
      </c>
      <c r="J27" s="82">
        <v>22.3</v>
      </c>
      <c r="K27" s="82">
        <v>21.8</v>
      </c>
      <c r="L27" s="82">
        <v>102.1</v>
      </c>
      <c r="M27" s="81" t="s">
        <v>285</v>
      </c>
      <c r="N27" s="57">
        <v>14.5</v>
      </c>
      <c r="O27" s="81" t="s">
        <v>286</v>
      </c>
      <c r="P27" s="57">
        <v>7.5</v>
      </c>
      <c r="Q27" s="99">
        <v>1990</v>
      </c>
      <c r="R27" s="83"/>
      <c r="S27" s="83"/>
      <c r="T27" s="83"/>
    </row>
    <row r="28" spans="1:20" s="84" customFormat="1" ht="11.1" customHeight="1">
      <c r="A28" s="80">
        <v>1991</v>
      </c>
      <c r="B28" s="108" t="s">
        <v>287</v>
      </c>
      <c r="C28" s="81">
        <v>-478368</v>
      </c>
      <c r="D28" s="362">
        <v>-5.0999999999999996</v>
      </c>
      <c r="E28" s="81" t="s">
        <v>288</v>
      </c>
      <c r="F28" s="81" t="s">
        <v>289</v>
      </c>
      <c r="G28" s="82">
        <v>102.3</v>
      </c>
      <c r="H28" s="82">
        <v>20.7</v>
      </c>
      <c r="I28" s="362">
        <v>-1.3</v>
      </c>
      <c r="J28" s="82">
        <v>20.8</v>
      </c>
      <c r="K28" s="82">
        <v>20.6</v>
      </c>
      <c r="L28" s="82">
        <v>101</v>
      </c>
      <c r="M28" s="81" t="s">
        <v>290</v>
      </c>
      <c r="N28" s="57">
        <v>13.9</v>
      </c>
      <c r="O28" s="81" t="s">
        <v>291</v>
      </c>
      <c r="P28" s="57">
        <v>6.8</v>
      </c>
      <c r="Q28" s="99">
        <v>1991</v>
      </c>
      <c r="R28" s="83"/>
      <c r="S28" s="83"/>
      <c r="T28" s="83"/>
    </row>
    <row r="29" spans="1:20" s="84" customFormat="1" ht="11.1" customHeight="1">
      <c r="A29" s="80">
        <v>1992</v>
      </c>
      <c r="B29" s="108" t="s">
        <v>292</v>
      </c>
      <c r="C29" s="81" t="s">
        <v>478</v>
      </c>
      <c r="D29" s="362">
        <v>0.6</v>
      </c>
      <c r="E29" s="81" t="s">
        <v>293</v>
      </c>
      <c r="F29" s="81" t="s">
        <v>294</v>
      </c>
      <c r="G29" s="82">
        <v>101.2</v>
      </c>
      <c r="H29" s="82">
        <v>20.6</v>
      </c>
      <c r="I29" s="362">
        <v>-0.1</v>
      </c>
      <c r="J29" s="82">
        <v>20.6</v>
      </c>
      <c r="K29" s="82">
        <v>20.7</v>
      </c>
      <c r="L29" s="82">
        <v>99.9</v>
      </c>
      <c r="M29" s="68" t="s">
        <v>295</v>
      </c>
      <c r="N29" s="57">
        <v>14.1</v>
      </c>
      <c r="O29" s="68" t="s">
        <v>296</v>
      </c>
      <c r="P29" s="57">
        <v>6.5</v>
      </c>
      <c r="Q29" s="99">
        <v>1992</v>
      </c>
      <c r="R29" s="83"/>
      <c r="S29" s="83"/>
      <c r="T29" s="83"/>
    </row>
    <row r="30" spans="1:20" s="84" customFormat="1" ht="11.1" customHeight="1">
      <c r="A30" s="80">
        <v>1993</v>
      </c>
      <c r="B30" s="108" t="s">
        <v>297</v>
      </c>
      <c r="C30" s="81">
        <v>-224518</v>
      </c>
      <c r="D30" s="362">
        <v>-2.5</v>
      </c>
      <c r="E30" s="81" t="s">
        <v>298</v>
      </c>
      <c r="F30" s="81" t="s">
        <v>299</v>
      </c>
      <c r="G30" s="82">
        <v>101.2</v>
      </c>
      <c r="H30" s="82">
        <v>19.7</v>
      </c>
      <c r="I30" s="362">
        <v>-1</v>
      </c>
      <c r="J30" s="82">
        <v>19.7</v>
      </c>
      <c r="K30" s="82">
        <v>19.600000000000001</v>
      </c>
      <c r="L30" s="82">
        <v>100.3</v>
      </c>
      <c r="M30" s="81" t="s">
        <v>300</v>
      </c>
      <c r="N30" s="57">
        <v>13.3</v>
      </c>
      <c r="O30" s="81" t="s">
        <v>301</v>
      </c>
      <c r="P30" s="57">
        <v>6.4</v>
      </c>
      <c r="Q30" s="99">
        <v>1993</v>
      </c>
      <c r="R30" s="83"/>
      <c r="S30" s="83"/>
      <c r="T30" s="83"/>
    </row>
    <row r="31" spans="1:20" s="84" customFormat="1" ht="11.1" customHeight="1">
      <c r="A31" s="80">
        <v>1994</v>
      </c>
      <c r="B31" s="108" t="s">
        <v>302</v>
      </c>
      <c r="C31" s="81">
        <v>-15344</v>
      </c>
      <c r="D31" s="362">
        <v>-0.2</v>
      </c>
      <c r="E31" s="81" t="s">
        <v>303</v>
      </c>
      <c r="F31" s="81" t="s">
        <v>304</v>
      </c>
      <c r="G31" s="82">
        <v>100.5</v>
      </c>
      <c r="H31" s="82">
        <v>19.399999999999999</v>
      </c>
      <c r="I31" s="362">
        <v>-0.2</v>
      </c>
      <c r="J31" s="82">
        <v>19.399999999999999</v>
      </c>
      <c r="K31" s="82">
        <v>19.5</v>
      </c>
      <c r="L31" s="82">
        <v>99.6</v>
      </c>
      <c r="M31" s="81" t="s">
        <v>305</v>
      </c>
      <c r="N31" s="57">
        <v>13.4</v>
      </c>
      <c r="O31" s="81" t="s">
        <v>306</v>
      </c>
      <c r="P31" s="57">
        <v>6.1</v>
      </c>
      <c r="Q31" s="99">
        <v>1994</v>
      </c>
      <c r="R31" s="83"/>
      <c r="S31" s="83"/>
      <c r="T31" s="83"/>
    </row>
    <row r="32" spans="1:20" s="84" customFormat="1" ht="11.1" customHeight="1">
      <c r="A32" s="80">
        <v>1995</v>
      </c>
      <c r="B32" s="108" t="s">
        <v>307</v>
      </c>
      <c r="C32" s="81" t="s">
        <v>479</v>
      </c>
      <c r="D32" s="362">
        <v>3.2</v>
      </c>
      <c r="E32" s="81" t="s">
        <v>308</v>
      </c>
      <c r="F32" s="81" t="s">
        <v>309</v>
      </c>
      <c r="G32" s="82">
        <v>100.1</v>
      </c>
      <c r="H32" s="82">
        <v>19.899999999999999</v>
      </c>
      <c r="I32" s="362">
        <v>0.4</v>
      </c>
      <c r="J32" s="82">
        <v>19.8</v>
      </c>
      <c r="K32" s="82">
        <v>20</v>
      </c>
      <c r="L32" s="82">
        <v>99.1</v>
      </c>
      <c r="M32" s="81" t="s">
        <v>310</v>
      </c>
      <c r="N32" s="57">
        <v>13.6</v>
      </c>
      <c r="O32" s="81" t="s">
        <v>311</v>
      </c>
      <c r="P32" s="57">
        <v>6.3</v>
      </c>
      <c r="Q32" s="99">
        <v>1995</v>
      </c>
      <c r="R32" s="83"/>
      <c r="S32" s="83"/>
      <c r="T32" s="83"/>
    </row>
    <row r="33" spans="1:20" s="84" customFormat="1" ht="11.1" customHeight="1">
      <c r="A33" s="80">
        <v>1996</v>
      </c>
      <c r="B33" s="108" t="s">
        <v>312</v>
      </c>
      <c r="C33" s="81">
        <v>-218096</v>
      </c>
      <c r="D33" s="362">
        <v>-2.4</v>
      </c>
      <c r="E33" s="81" t="s">
        <v>313</v>
      </c>
      <c r="F33" s="81" t="s">
        <v>314</v>
      </c>
      <c r="G33" s="82">
        <v>100.1</v>
      </c>
      <c r="H33" s="82">
        <v>19.2</v>
      </c>
      <c r="I33" s="362">
        <v>-0.7</v>
      </c>
      <c r="J33" s="82">
        <v>19.100000000000001</v>
      </c>
      <c r="K33" s="82">
        <v>19.3</v>
      </c>
      <c r="L33" s="82">
        <v>99.2</v>
      </c>
      <c r="M33" s="81" t="s">
        <v>315</v>
      </c>
      <c r="N33" s="57">
        <v>13.1</v>
      </c>
      <c r="O33" s="81" t="s">
        <v>316</v>
      </c>
      <c r="P33" s="57">
        <v>6.2</v>
      </c>
      <c r="Q33" s="99">
        <v>1996</v>
      </c>
      <c r="R33" s="83"/>
      <c r="S33" s="83"/>
      <c r="T33" s="83"/>
    </row>
    <row r="34" spans="1:20" s="84" customFormat="1" ht="11.1" customHeight="1">
      <c r="A34" s="80">
        <v>1997</v>
      </c>
      <c r="B34" s="108" t="s">
        <v>317</v>
      </c>
      <c r="C34" s="81">
        <v>-35064</v>
      </c>
      <c r="D34" s="362">
        <v>-0.4</v>
      </c>
      <c r="E34" s="81" t="s">
        <v>318</v>
      </c>
      <c r="F34" s="81" t="s">
        <v>319</v>
      </c>
      <c r="G34" s="82">
        <v>100</v>
      </c>
      <c r="H34" s="82">
        <v>19</v>
      </c>
      <c r="I34" s="362">
        <v>-0.2</v>
      </c>
      <c r="J34" s="82">
        <v>18.899999999999999</v>
      </c>
      <c r="K34" s="82">
        <v>19.100000000000001</v>
      </c>
      <c r="L34" s="82">
        <v>99.1</v>
      </c>
      <c r="M34" s="81" t="s">
        <v>320</v>
      </c>
      <c r="N34" s="57">
        <v>12.9</v>
      </c>
      <c r="O34" s="81" t="s">
        <v>321</v>
      </c>
      <c r="P34" s="57">
        <v>6.1</v>
      </c>
      <c r="Q34" s="99">
        <v>1997</v>
      </c>
      <c r="R34" s="83"/>
      <c r="S34" s="83"/>
      <c r="T34" s="83"/>
    </row>
    <row r="35" spans="1:20" s="84" customFormat="1" ht="11.1" customHeight="1">
      <c r="A35" s="80">
        <v>1998</v>
      </c>
      <c r="B35" s="108" t="s">
        <v>322</v>
      </c>
      <c r="C35" s="81">
        <v>-663591</v>
      </c>
      <c r="D35" s="362">
        <v>-7.5</v>
      </c>
      <c r="E35" s="81" t="s">
        <v>323</v>
      </c>
      <c r="F35" s="81" t="s">
        <v>324</v>
      </c>
      <c r="G35" s="82">
        <v>98.8</v>
      </c>
      <c r="H35" s="82">
        <v>17.399999999999999</v>
      </c>
      <c r="I35" s="362">
        <v>-1.6</v>
      </c>
      <c r="J35" s="82">
        <v>17.2</v>
      </c>
      <c r="K35" s="82">
        <v>17.600000000000001</v>
      </c>
      <c r="L35" s="82">
        <v>97.9</v>
      </c>
      <c r="M35" s="81" t="s">
        <v>325</v>
      </c>
      <c r="N35" s="57">
        <v>11.7</v>
      </c>
      <c r="O35" s="81" t="s">
        <v>326</v>
      </c>
      <c r="P35" s="57">
        <v>5.7</v>
      </c>
      <c r="Q35" s="99">
        <v>1998</v>
      </c>
      <c r="R35" s="83"/>
      <c r="S35" s="83"/>
      <c r="T35" s="83"/>
    </row>
    <row r="36" spans="1:20" s="84" customFormat="1" ht="18" customHeight="1">
      <c r="A36" s="80">
        <v>1999</v>
      </c>
      <c r="B36" s="108" t="s">
        <v>327</v>
      </c>
      <c r="C36" s="81" t="s">
        <v>480</v>
      </c>
      <c r="D36" s="362">
        <v>15.7</v>
      </c>
      <c r="E36" s="81" t="s">
        <v>328</v>
      </c>
      <c r="F36" s="81" t="s">
        <v>329</v>
      </c>
      <c r="G36" s="82">
        <v>96.8</v>
      </c>
      <c r="H36" s="82">
        <v>20</v>
      </c>
      <c r="I36" s="362">
        <v>2.6</v>
      </c>
      <c r="J36" s="82">
        <v>19.600000000000001</v>
      </c>
      <c r="K36" s="82">
        <v>20.399999999999999</v>
      </c>
      <c r="L36" s="82">
        <v>96</v>
      </c>
      <c r="M36" s="81" t="s">
        <v>330</v>
      </c>
      <c r="N36" s="57">
        <v>13.6</v>
      </c>
      <c r="O36" s="81" t="s">
        <v>331</v>
      </c>
      <c r="P36" s="57">
        <v>6.4</v>
      </c>
      <c r="Q36" s="99">
        <v>1999</v>
      </c>
      <c r="R36" s="83"/>
      <c r="S36" s="83"/>
      <c r="T36" s="83"/>
    </row>
    <row r="37" spans="1:20" s="84" customFormat="1" ht="11.1" customHeight="1">
      <c r="A37" s="80">
        <v>2000</v>
      </c>
      <c r="B37" s="108" t="s">
        <v>332</v>
      </c>
      <c r="C37" s="81">
        <v>-425906</v>
      </c>
      <c r="D37" s="362">
        <v>-4.5</v>
      </c>
      <c r="E37" s="81" t="s">
        <v>333</v>
      </c>
      <c r="F37" s="81" t="s">
        <v>334</v>
      </c>
      <c r="G37" s="82">
        <v>98.7</v>
      </c>
      <c r="H37" s="82">
        <v>19</v>
      </c>
      <c r="I37" s="362">
        <v>-1.1000000000000001</v>
      </c>
      <c r="J37" s="82">
        <v>18.8</v>
      </c>
      <c r="K37" s="82">
        <v>19.2</v>
      </c>
      <c r="L37" s="82">
        <v>97.9</v>
      </c>
      <c r="M37" s="81" t="s">
        <v>335</v>
      </c>
      <c r="N37" s="57">
        <v>13</v>
      </c>
      <c r="O37" s="81" t="s">
        <v>336</v>
      </c>
      <c r="P37" s="57">
        <v>6</v>
      </c>
      <c r="Q37" s="99">
        <v>2000</v>
      </c>
      <c r="R37" s="83"/>
      <c r="S37" s="83"/>
      <c r="T37" s="83"/>
    </row>
    <row r="38" spans="1:20" s="84" customFormat="1" ht="11.1" customHeight="1">
      <c r="A38" s="80">
        <v>2001</v>
      </c>
      <c r="B38" s="108" t="s">
        <v>337</v>
      </c>
      <c r="C38" s="81" t="s">
        <v>481</v>
      </c>
      <c r="D38" s="362">
        <v>3.1</v>
      </c>
      <c r="E38" s="81" t="s">
        <v>338</v>
      </c>
      <c r="F38" s="81" t="s">
        <v>339</v>
      </c>
      <c r="G38" s="82">
        <v>98.8</v>
      </c>
      <c r="H38" s="82">
        <v>19.399999999999999</v>
      </c>
      <c r="I38" s="362">
        <v>0.5</v>
      </c>
      <c r="J38" s="82">
        <v>19.2</v>
      </c>
      <c r="K38" s="82">
        <v>19.600000000000001</v>
      </c>
      <c r="L38" s="82">
        <v>98.1</v>
      </c>
      <c r="M38" s="81" t="s">
        <v>340</v>
      </c>
      <c r="N38" s="57">
        <v>13.3</v>
      </c>
      <c r="O38" s="81" t="s">
        <v>341</v>
      </c>
      <c r="P38" s="57">
        <v>6.1</v>
      </c>
      <c r="Q38" s="99">
        <v>2001</v>
      </c>
      <c r="R38" s="83"/>
      <c r="S38" s="83"/>
      <c r="T38" s="83"/>
    </row>
    <row r="39" spans="1:20" s="84" customFormat="1" ht="11.1" customHeight="1">
      <c r="A39" s="80">
        <v>2002</v>
      </c>
      <c r="B39" s="108" t="s">
        <v>342</v>
      </c>
      <c r="C39" s="81" t="s">
        <v>482</v>
      </c>
      <c r="D39" s="362">
        <v>3.2</v>
      </c>
      <c r="E39" s="81" t="s">
        <v>343</v>
      </c>
      <c r="F39" s="81" t="s">
        <v>344</v>
      </c>
      <c r="G39" s="82">
        <v>98.5</v>
      </c>
      <c r="H39" s="82">
        <v>19.899999999999999</v>
      </c>
      <c r="I39" s="362">
        <v>0.5</v>
      </c>
      <c r="J39" s="82">
        <v>19.7</v>
      </c>
      <c r="K39" s="82">
        <v>20.100000000000001</v>
      </c>
      <c r="L39" s="82">
        <v>97.8</v>
      </c>
      <c r="M39" s="81" t="s">
        <v>345</v>
      </c>
      <c r="N39" s="57">
        <v>13.7</v>
      </c>
      <c r="O39" s="81" t="s">
        <v>346</v>
      </c>
      <c r="P39" s="57">
        <v>6.2</v>
      </c>
      <c r="Q39" s="99">
        <v>2002</v>
      </c>
      <c r="R39" s="83"/>
      <c r="S39" s="83"/>
      <c r="T39" s="83"/>
    </row>
    <row r="40" spans="1:20" s="84" customFormat="1" ht="11.1" customHeight="1">
      <c r="A40" s="80">
        <v>2003</v>
      </c>
      <c r="B40" s="108" t="s">
        <v>347</v>
      </c>
      <c r="C40" s="81">
        <v>-67856</v>
      </c>
      <c r="D40" s="362">
        <v>-0.7</v>
      </c>
      <c r="E40" s="81" t="s">
        <v>348</v>
      </c>
      <c r="F40" s="81" t="s">
        <v>349</v>
      </c>
      <c r="G40" s="82">
        <v>97.8</v>
      </c>
      <c r="H40" s="82">
        <v>19.7</v>
      </c>
      <c r="I40" s="362">
        <v>-0.2</v>
      </c>
      <c r="J40" s="82">
        <v>19.399999999999999</v>
      </c>
      <c r="K40" s="82">
        <v>20</v>
      </c>
      <c r="L40" s="82">
        <v>97.1</v>
      </c>
      <c r="M40" s="68" t="s">
        <v>350</v>
      </c>
      <c r="N40" s="57">
        <v>13.5</v>
      </c>
      <c r="O40" s="68" t="s">
        <v>351</v>
      </c>
      <c r="P40" s="57">
        <v>6.2</v>
      </c>
      <c r="Q40" s="99">
        <v>2003</v>
      </c>
      <c r="R40" s="83"/>
      <c r="S40" s="83"/>
      <c r="T40" s="83"/>
    </row>
    <row r="41" spans="1:20" s="84" customFormat="1" ht="11.1" customHeight="1">
      <c r="A41" s="80">
        <v>2004</v>
      </c>
      <c r="B41" s="108" t="s">
        <v>352</v>
      </c>
      <c r="C41" s="81">
        <v>-948810</v>
      </c>
      <c r="D41" s="362">
        <v>-10</v>
      </c>
      <c r="E41" s="81" t="s">
        <v>353</v>
      </c>
      <c r="F41" s="81" t="s">
        <v>354</v>
      </c>
      <c r="G41" s="82">
        <v>99.2</v>
      </c>
      <c r="H41" s="82">
        <v>17.7</v>
      </c>
      <c r="I41" s="362">
        <v>-2</v>
      </c>
      <c r="J41" s="82">
        <v>17.600000000000001</v>
      </c>
      <c r="K41" s="82">
        <v>17.8</v>
      </c>
      <c r="L41" s="82">
        <v>98.6</v>
      </c>
      <c r="M41" s="81" t="s">
        <v>355</v>
      </c>
      <c r="N41" s="57">
        <v>11.9</v>
      </c>
      <c r="O41" s="81" t="s">
        <v>356</v>
      </c>
      <c r="P41" s="57">
        <v>5.8</v>
      </c>
      <c r="Q41" s="99">
        <v>2004</v>
      </c>
      <c r="R41" s="83"/>
      <c r="S41" s="83"/>
      <c r="T41" s="83"/>
    </row>
    <row r="42" spans="1:20" s="84" customFormat="1" ht="11.1" customHeight="1">
      <c r="A42" s="80">
        <v>2005</v>
      </c>
      <c r="B42" s="108" t="s">
        <v>357</v>
      </c>
      <c r="C42" s="81" t="s">
        <v>483</v>
      </c>
      <c r="D42" s="362">
        <v>2.7</v>
      </c>
      <c r="E42" s="81" t="s">
        <v>358</v>
      </c>
      <c r="F42" s="81" t="s">
        <v>359</v>
      </c>
      <c r="G42" s="82">
        <v>99.8</v>
      </c>
      <c r="H42" s="82">
        <v>18.100000000000001</v>
      </c>
      <c r="I42" s="362">
        <v>0.4</v>
      </c>
      <c r="J42" s="82">
        <v>18</v>
      </c>
      <c r="K42" s="82">
        <v>18.100000000000001</v>
      </c>
      <c r="L42" s="82">
        <v>99.3</v>
      </c>
      <c r="M42" s="81" t="s">
        <v>360</v>
      </c>
      <c r="N42" s="57">
        <v>12.3</v>
      </c>
      <c r="O42" s="81" t="s">
        <v>361</v>
      </c>
      <c r="P42" s="57">
        <v>5.8</v>
      </c>
      <c r="Q42" s="99">
        <v>2005</v>
      </c>
      <c r="R42" s="83"/>
      <c r="S42" s="83"/>
      <c r="T42" s="83"/>
    </row>
    <row r="43" spans="1:20" s="84" customFormat="1" ht="11.1" customHeight="1">
      <c r="A43" s="80">
        <v>2006</v>
      </c>
      <c r="B43" s="108" t="s">
        <v>362</v>
      </c>
      <c r="C43" s="81" t="s">
        <v>484</v>
      </c>
      <c r="D43" s="362">
        <v>6.2</v>
      </c>
      <c r="E43" s="81" t="s">
        <v>363</v>
      </c>
      <c r="F43" s="81" t="s">
        <v>364</v>
      </c>
      <c r="G43" s="82">
        <v>99.4</v>
      </c>
      <c r="H43" s="82">
        <v>19.100000000000001</v>
      </c>
      <c r="I43" s="362">
        <v>1</v>
      </c>
      <c r="J43" s="82">
        <v>19</v>
      </c>
      <c r="K43" s="82">
        <v>19.2</v>
      </c>
      <c r="L43" s="82">
        <v>98.9</v>
      </c>
      <c r="M43" s="81" t="s">
        <v>365</v>
      </c>
      <c r="N43" s="57">
        <v>13.1</v>
      </c>
      <c r="O43" s="81" t="s">
        <v>366</v>
      </c>
      <c r="P43" s="57">
        <v>6</v>
      </c>
      <c r="Q43" s="99">
        <v>2006</v>
      </c>
      <c r="R43" s="83"/>
      <c r="S43" s="83"/>
      <c r="T43" s="83"/>
    </row>
    <row r="44" spans="1:20" s="84" customFormat="1" ht="11.1" customHeight="1">
      <c r="A44" s="80">
        <v>2007</v>
      </c>
      <c r="B44" s="108" t="s">
        <v>367</v>
      </c>
      <c r="C44" s="81">
        <v>-271972</v>
      </c>
      <c r="D44" s="362">
        <v>-2.9</v>
      </c>
      <c r="E44" s="81" t="s">
        <v>368</v>
      </c>
      <c r="F44" s="81" t="s">
        <v>369</v>
      </c>
      <c r="G44" s="82">
        <v>99.1</v>
      </c>
      <c r="H44" s="82">
        <v>18.5</v>
      </c>
      <c r="I44" s="362">
        <v>-0.6</v>
      </c>
      <c r="J44" s="82">
        <v>18.3</v>
      </c>
      <c r="K44" s="82">
        <v>18.600000000000001</v>
      </c>
      <c r="L44" s="82">
        <v>98.7</v>
      </c>
      <c r="M44" s="81" t="s">
        <v>370</v>
      </c>
      <c r="N44" s="57">
        <v>12.5</v>
      </c>
      <c r="O44" s="81" t="s">
        <v>371</v>
      </c>
      <c r="P44" s="57">
        <v>5.9</v>
      </c>
      <c r="Q44" s="99">
        <v>2007</v>
      </c>
      <c r="R44" s="83"/>
      <c r="S44" s="83"/>
      <c r="T44" s="83"/>
    </row>
    <row r="45" spans="1:20" s="84" customFormat="1" ht="11.1" customHeight="1">
      <c r="A45" s="80">
        <v>2008</v>
      </c>
      <c r="B45" s="108" t="s">
        <v>372</v>
      </c>
      <c r="C45" s="81">
        <v>-261846</v>
      </c>
      <c r="D45" s="362">
        <v>-2.9</v>
      </c>
      <c r="E45" s="81" t="s">
        <v>373</v>
      </c>
      <c r="F45" s="81" t="s">
        <v>374</v>
      </c>
      <c r="G45" s="82">
        <v>100.2</v>
      </c>
      <c r="H45" s="82">
        <v>17.8</v>
      </c>
      <c r="I45" s="362">
        <v>-0.6</v>
      </c>
      <c r="J45" s="82">
        <v>17.8</v>
      </c>
      <c r="K45" s="82">
        <v>17.899999999999999</v>
      </c>
      <c r="L45" s="82">
        <v>99.8</v>
      </c>
      <c r="M45" s="81" t="s">
        <v>375</v>
      </c>
      <c r="N45" s="57">
        <v>12.2</v>
      </c>
      <c r="O45" s="81" t="s">
        <v>376</v>
      </c>
      <c r="P45" s="57">
        <v>5.7</v>
      </c>
      <c r="Q45" s="99">
        <v>2008</v>
      </c>
      <c r="R45" s="83"/>
      <c r="S45" s="83"/>
      <c r="T45" s="83"/>
    </row>
    <row r="46" spans="1:20" s="84" customFormat="1" ht="18" customHeight="1">
      <c r="A46" s="80">
        <v>2009</v>
      </c>
      <c r="B46" s="108" t="s">
        <v>377</v>
      </c>
      <c r="C46" s="81">
        <v>-320981</v>
      </c>
      <c r="D46" s="362">
        <v>-3.6</v>
      </c>
      <c r="E46" s="81" t="s">
        <v>378</v>
      </c>
      <c r="F46" s="81" t="s">
        <v>379</v>
      </c>
      <c r="G46" s="82">
        <v>100.2</v>
      </c>
      <c r="H46" s="82">
        <v>17.100000000000001</v>
      </c>
      <c r="I46" s="362">
        <v>-0.7</v>
      </c>
      <c r="J46" s="82">
        <v>17.100000000000001</v>
      </c>
      <c r="K46" s="82">
        <v>17.100000000000001</v>
      </c>
      <c r="L46" s="82">
        <v>99.9</v>
      </c>
      <c r="M46" s="81" t="s">
        <v>380</v>
      </c>
      <c r="N46" s="57">
        <v>11.6</v>
      </c>
      <c r="O46" s="81" t="s">
        <v>381</v>
      </c>
      <c r="P46" s="57">
        <v>5.5</v>
      </c>
      <c r="Q46" s="99">
        <v>2009</v>
      </c>
      <c r="R46" s="83"/>
      <c r="S46" s="83"/>
      <c r="T46" s="83"/>
    </row>
    <row r="47" spans="1:20" s="84" customFormat="1" ht="11.1" customHeight="1">
      <c r="A47" s="80">
        <v>2010</v>
      </c>
      <c r="B47" s="108" t="s">
        <v>382</v>
      </c>
      <c r="C47" s="81">
        <v>-260681</v>
      </c>
      <c r="D47" s="362">
        <v>-3.1</v>
      </c>
      <c r="E47" s="81" t="s">
        <v>383</v>
      </c>
      <c r="F47" s="81" t="s">
        <v>384</v>
      </c>
      <c r="G47" s="82">
        <v>101.2</v>
      </c>
      <c r="H47" s="82">
        <v>16.5</v>
      </c>
      <c r="I47" s="362">
        <v>-0.6</v>
      </c>
      <c r="J47" s="82">
        <v>16.600000000000001</v>
      </c>
      <c r="K47" s="82">
        <v>16.399999999999999</v>
      </c>
      <c r="L47" s="82">
        <v>100.9</v>
      </c>
      <c r="M47" s="81" t="s">
        <v>385</v>
      </c>
      <c r="N47" s="57">
        <v>11.2</v>
      </c>
      <c r="O47" s="81" t="s">
        <v>386</v>
      </c>
      <c r="P47" s="57">
        <v>5.3</v>
      </c>
      <c r="Q47" s="99">
        <v>2010</v>
      </c>
      <c r="R47" s="83"/>
      <c r="S47" s="83"/>
      <c r="T47" s="83"/>
    </row>
    <row r="48" spans="1:20" s="84" customFormat="1" ht="11.1" customHeight="1">
      <c r="A48" s="80">
        <v>2011</v>
      </c>
      <c r="B48" s="108" t="s">
        <v>387</v>
      </c>
      <c r="C48" s="81">
        <v>-99399</v>
      </c>
      <c r="D48" s="362">
        <v>-1.2</v>
      </c>
      <c r="E48" s="81" t="s">
        <v>388</v>
      </c>
      <c r="F48" s="81" t="s">
        <v>389</v>
      </c>
      <c r="G48" s="82">
        <v>101.3</v>
      </c>
      <c r="H48" s="82">
        <v>16.2</v>
      </c>
      <c r="I48" s="362">
        <v>-0.3</v>
      </c>
      <c r="J48" s="82">
        <v>16.3</v>
      </c>
      <c r="K48" s="82">
        <v>16.100000000000001</v>
      </c>
      <c r="L48" s="82">
        <v>101.1</v>
      </c>
      <c r="M48" s="81" t="s">
        <v>390</v>
      </c>
      <c r="N48" s="57">
        <v>11</v>
      </c>
      <c r="O48" s="81" t="s">
        <v>391</v>
      </c>
      <c r="P48" s="57">
        <v>5.2</v>
      </c>
      <c r="Q48" s="99">
        <v>2011</v>
      </c>
      <c r="R48" s="83"/>
      <c r="S48" s="83"/>
      <c r="T48" s="83"/>
    </row>
    <row r="49" spans="1:20" s="84" customFormat="1" ht="11.1" customHeight="1">
      <c r="A49" s="80">
        <v>2012</v>
      </c>
      <c r="B49" s="108" t="s">
        <v>392</v>
      </c>
      <c r="C49" s="81">
        <v>-620504</v>
      </c>
      <c r="D49" s="362">
        <v>-7.6</v>
      </c>
      <c r="E49" s="81" t="s">
        <v>393</v>
      </c>
      <c r="F49" s="81" t="s">
        <v>394</v>
      </c>
      <c r="G49" s="82">
        <v>101.9</v>
      </c>
      <c r="H49" s="82">
        <v>14.9</v>
      </c>
      <c r="I49" s="362">
        <v>-1.3</v>
      </c>
      <c r="J49" s="82">
        <v>15</v>
      </c>
      <c r="K49" s="82">
        <v>14.8</v>
      </c>
      <c r="L49" s="82">
        <v>101.8</v>
      </c>
      <c r="M49" s="81" t="s">
        <v>395</v>
      </c>
      <c r="N49" s="57">
        <v>9.9</v>
      </c>
      <c r="O49" s="81" t="s">
        <v>396</v>
      </c>
      <c r="P49" s="57">
        <v>5</v>
      </c>
      <c r="Q49" s="99">
        <v>2012</v>
      </c>
      <c r="R49" s="83"/>
      <c r="S49" s="83"/>
      <c r="T49" s="83"/>
    </row>
    <row r="50" spans="1:20" s="84" customFormat="1" ht="11.1" customHeight="1">
      <c r="A50" s="80">
        <v>2013</v>
      </c>
      <c r="B50" s="108" t="s">
        <v>397</v>
      </c>
      <c r="C50" s="81">
        <v>-94907</v>
      </c>
      <c r="D50" s="362">
        <v>-1.3</v>
      </c>
      <c r="E50" s="81" t="s">
        <v>398</v>
      </c>
      <c r="F50" s="81" t="s">
        <v>399</v>
      </c>
      <c r="G50" s="82">
        <v>102.3</v>
      </c>
      <c r="H50" s="82">
        <v>14.7</v>
      </c>
      <c r="I50" s="362">
        <v>-0.3</v>
      </c>
      <c r="J50" s="82">
        <v>14.8</v>
      </c>
      <c r="K50" s="82">
        <v>14.5</v>
      </c>
      <c r="L50" s="82">
        <v>102.3</v>
      </c>
      <c r="M50" s="81" t="s">
        <v>400</v>
      </c>
      <c r="N50" s="57">
        <v>9.9</v>
      </c>
      <c r="O50" s="81" t="s">
        <v>401</v>
      </c>
      <c r="P50" s="57">
        <v>4.8</v>
      </c>
      <c r="Q50" s="99">
        <v>2013</v>
      </c>
      <c r="R50" s="83"/>
      <c r="S50" s="83"/>
      <c r="T50" s="83"/>
    </row>
    <row r="51" spans="1:20" s="84" customFormat="1" ht="11.1" customHeight="1">
      <c r="A51" s="80">
        <v>2014</v>
      </c>
      <c r="B51" s="108" t="s">
        <v>402</v>
      </c>
      <c r="C51" s="81" t="s">
        <v>485</v>
      </c>
      <c r="D51" s="362">
        <v>2.9</v>
      </c>
      <c r="E51" s="81" t="s">
        <v>403</v>
      </c>
      <c r="F51" s="81" t="s">
        <v>404</v>
      </c>
      <c r="G51" s="82">
        <v>102.9</v>
      </c>
      <c r="H51" s="82">
        <v>15</v>
      </c>
      <c r="I51" s="362">
        <v>0.4</v>
      </c>
      <c r="J51" s="82">
        <v>15.2</v>
      </c>
      <c r="K51" s="82">
        <v>14.8</v>
      </c>
      <c r="L51" s="82">
        <v>103</v>
      </c>
      <c r="M51" s="81" t="s">
        <v>405</v>
      </c>
      <c r="N51" s="57">
        <v>10.1</v>
      </c>
      <c r="O51" s="81" t="s">
        <v>406</v>
      </c>
      <c r="P51" s="57">
        <v>4.9000000000000004</v>
      </c>
      <c r="Q51" s="99">
        <v>2014</v>
      </c>
      <c r="R51" s="83"/>
      <c r="S51" s="83"/>
      <c r="T51" s="83"/>
    </row>
    <row r="52" spans="1:20" s="84" customFormat="1" ht="11.1" customHeight="1">
      <c r="A52" s="80">
        <v>2015</v>
      </c>
      <c r="B52" s="108" t="s">
        <v>407</v>
      </c>
      <c r="C52" s="81" t="s">
        <v>486</v>
      </c>
      <c r="D52" s="362">
        <v>1.7</v>
      </c>
      <c r="E52" s="81" t="s">
        <v>408</v>
      </c>
      <c r="F52" s="81" t="s">
        <v>409</v>
      </c>
      <c r="G52" s="82">
        <v>103.2</v>
      </c>
      <c r="H52" s="82">
        <v>15.2</v>
      </c>
      <c r="I52" s="362">
        <v>0.2</v>
      </c>
      <c r="J52" s="82">
        <v>15.5</v>
      </c>
      <c r="K52" s="82">
        <v>15</v>
      </c>
      <c r="L52" s="82">
        <v>103.4</v>
      </c>
      <c r="M52" s="81" t="s">
        <v>410</v>
      </c>
      <c r="N52" s="57">
        <v>10.199999999999999</v>
      </c>
      <c r="O52" s="81" t="s">
        <v>411</v>
      </c>
      <c r="P52" s="57">
        <v>5</v>
      </c>
      <c r="Q52" s="99">
        <v>2015</v>
      </c>
      <c r="R52" s="83"/>
      <c r="S52" s="83"/>
      <c r="T52" s="83"/>
    </row>
    <row r="53" spans="1:20" s="84" customFormat="1" ht="11.1" customHeight="1">
      <c r="A53" s="80">
        <v>2016</v>
      </c>
      <c r="B53" s="108" t="s">
        <v>412</v>
      </c>
      <c r="C53" s="81">
        <v>-376856</v>
      </c>
      <c r="D53" s="362">
        <v>-4.9000000000000004</v>
      </c>
      <c r="E53" s="81" t="s">
        <v>413</v>
      </c>
      <c r="F53" s="81" t="s">
        <v>414</v>
      </c>
      <c r="G53" s="82">
        <v>103.7</v>
      </c>
      <c r="H53" s="82">
        <v>14.4</v>
      </c>
      <c r="I53" s="362">
        <v>-0.8</v>
      </c>
      <c r="J53" s="82">
        <v>14.7</v>
      </c>
      <c r="K53" s="82">
        <v>14.2</v>
      </c>
      <c r="L53" s="82">
        <v>103.9</v>
      </c>
      <c r="M53" s="81" t="s">
        <v>415</v>
      </c>
      <c r="N53" s="57">
        <v>9.6</v>
      </c>
      <c r="O53" s="81" t="s">
        <v>416</v>
      </c>
      <c r="P53" s="57">
        <v>4.8</v>
      </c>
      <c r="Q53" s="99">
        <v>2016</v>
      </c>
      <c r="R53" s="83"/>
      <c r="S53" s="83"/>
      <c r="T53" s="83"/>
    </row>
    <row r="54" spans="1:20" s="84" customFormat="1" ht="11.1" customHeight="1">
      <c r="A54" s="80">
        <v>2017</v>
      </c>
      <c r="B54" s="108" t="s">
        <v>417</v>
      </c>
      <c r="C54" s="81">
        <v>-224204</v>
      </c>
      <c r="D54" s="362">
        <v>-3</v>
      </c>
      <c r="E54" s="81" t="s">
        <v>418</v>
      </c>
      <c r="F54" s="81" t="s">
        <v>419</v>
      </c>
      <c r="G54" s="82">
        <v>104.1</v>
      </c>
      <c r="H54" s="82">
        <v>14</v>
      </c>
      <c r="I54" s="362">
        <v>-0.5</v>
      </c>
      <c r="J54" s="82">
        <v>14.3</v>
      </c>
      <c r="K54" s="82">
        <v>13.7</v>
      </c>
      <c r="L54" s="82">
        <v>104.5</v>
      </c>
      <c r="M54" s="81" t="s">
        <v>420</v>
      </c>
      <c r="N54" s="57">
        <v>9.3000000000000007</v>
      </c>
      <c r="O54" s="81" t="s">
        <v>421</v>
      </c>
      <c r="P54" s="227">
        <v>4.7</v>
      </c>
      <c r="Q54" s="80">
        <v>2017</v>
      </c>
      <c r="R54" s="83"/>
      <c r="S54" s="83"/>
      <c r="T54" s="83"/>
    </row>
    <row r="55" spans="1:20" s="84" customFormat="1" ht="11.1" customHeight="1">
      <c r="A55" s="80">
        <v>2018</v>
      </c>
      <c r="B55" s="108" t="s">
        <v>422</v>
      </c>
      <c r="C55" s="81" t="s">
        <v>487</v>
      </c>
      <c r="D55" s="362">
        <v>2</v>
      </c>
      <c r="E55" s="81" t="s">
        <v>423</v>
      </c>
      <c r="F55" s="81" t="s">
        <v>424</v>
      </c>
      <c r="G55" s="82">
        <v>103.7</v>
      </c>
      <c r="H55" s="82">
        <v>14.2</v>
      </c>
      <c r="I55" s="362">
        <v>0.3</v>
      </c>
      <c r="J55" s="82">
        <v>14.5</v>
      </c>
      <c r="K55" s="82">
        <v>13.9</v>
      </c>
      <c r="L55" s="82">
        <v>104.1</v>
      </c>
      <c r="M55" s="81" t="s">
        <v>425</v>
      </c>
      <c r="N55" s="57">
        <v>9.5</v>
      </c>
      <c r="O55" s="81" t="s">
        <v>426</v>
      </c>
      <c r="P55" s="227">
        <v>4.7</v>
      </c>
      <c r="Q55" s="80">
        <v>2018</v>
      </c>
      <c r="R55" s="83"/>
      <c r="S55" s="83"/>
      <c r="T55" s="83"/>
    </row>
    <row r="56" spans="1:20" s="84" customFormat="1" ht="18" customHeight="1">
      <c r="A56" s="80">
        <v>2019</v>
      </c>
      <c r="B56" s="108" t="s">
        <v>427</v>
      </c>
      <c r="C56" s="81">
        <v>-192701</v>
      </c>
      <c r="D56" s="362">
        <v>-2.6</v>
      </c>
      <c r="E56" s="81" t="s">
        <v>428</v>
      </c>
      <c r="F56" s="81" t="s">
        <v>429</v>
      </c>
      <c r="G56" s="82">
        <v>104.6</v>
      </c>
      <c r="H56" s="82">
        <v>13.8</v>
      </c>
      <c r="I56" s="362">
        <v>-0.4</v>
      </c>
      <c r="J56" s="82">
        <v>14.2</v>
      </c>
      <c r="K56" s="82">
        <v>13.5</v>
      </c>
      <c r="L56" s="82">
        <v>105</v>
      </c>
      <c r="M56" s="81" t="s">
        <v>430</v>
      </c>
      <c r="N56" s="57">
        <v>9.1999999999999993</v>
      </c>
      <c r="O56" s="81" t="s">
        <v>431</v>
      </c>
      <c r="P56" s="227">
        <v>4.5999999999999996</v>
      </c>
      <c r="Q56" s="80">
        <v>2019</v>
      </c>
      <c r="R56" s="83"/>
      <c r="S56" s="83"/>
      <c r="T56" s="83"/>
    </row>
    <row r="57" spans="1:20" s="84" customFormat="1" ht="11.1" customHeight="1">
      <c r="A57" s="80">
        <v>2020</v>
      </c>
      <c r="B57" s="108" t="s">
        <v>432</v>
      </c>
      <c r="C57" s="81" t="s">
        <v>488</v>
      </c>
      <c r="D57" s="362">
        <v>8.9</v>
      </c>
      <c r="E57" s="81" t="s">
        <v>433</v>
      </c>
      <c r="F57" s="81" t="s">
        <v>434</v>
      </c>
      <c r="G57" s="82">
        <v>103.4</v>
      </c>
      <c r="H57" s="82">
        <v>15.1</v>
      </c>
      <c r="I57" s="362">
        <v>1.2</v>
      </c>
      <c r="J57" s="82">
        <v>15.4</v>
      </c>
      <c r="K57" s="82">
        <v>14.8</v>
      </c>
      <c r="L57" s="82">
        <v>103.9</v>
      </c>
      <c r="M57" s="81" t="s">
        <v>435</v>
      </c>
      <c r="N57" s="57">
        <v>10.1</v>
      </c>
      <c r="O57" s="81" t="s">
        <v>436</v>
      </c>
      <c r="P57" s="227">
        <v>4.9000000000000004</v>
      </c>
      <c r="Q57" s="80">
        <v>2020</v>
      </c>
      <c r="R57" s="83"/>
      <c r="S57" s="83"/>
      <c r="T57" s="83"/>
    </row>
    <row r="58" spans="1:20" s="84" customFormat="1" ht="11.1" customHeight="1">
      <c r="A58" s="80">
        <v>2021</v>
      </c>
      <c r="B58" s="108" t="s">
        <v>437</v>
      </c>
      <c r="C58" s="81">
        <v>-522069</v>
      </c>
      <c r="D58" s="362">
        <v>-6.7</v>
      </c>
      <c r="E58" s="81" t="s">
        <v>438</v>
      </c>
      <c r="F58" s="81" t="s">
        <v>439</v>
      </c>
      <c r="G58" s="82">
        <v>104.7</v>
      </c>
      <c r="H58" s="82">
        <v>14.1</v>
      </c>
      <c r="I58" s="362">
        <v>-1</v>
      </c>
      <c r="J58" s="82">
        <v>14.4</v>
      </c>
      <c r="K58" s="82">
        <v>13.7</v>
      </c>
      <c r="L58" s="82">
        <v>105.3</v>
      </c>
      <c r="M58" s="81" t="s">
        <v>440</v>
      </c>
      <c r="N58" s="57">
        <v>9.3000000000000007</v>
      </c>
      <c r="O58" s="81" t="s">
        <v>441</v>
      </c>
      <c r="P58" s="227">
        <v>4.8</v>
      </c>
      <c r="Q58" s="80">
        <v>2021</v>
      </c>
      <c r="R58" s="83"/>
      <c r="S58" s="83"/>
      <c r="T58" s="83"/>
    </row>
    <row r="59" spans="1:20" s="84" customFormat="1" ht="11.1" customHeight="1">
      <c r="A59" s="80">
        <v>2022</v>
      </c>
      <c r="B59" s="108" t="s">
        <v>442</v>
      </c>
      <c r="C59" s="81">
        <v>-1061267</v>
      </c>
      <c r="D59" s="362">
        <v>-14.7</v>
      </c>
      <c r="E59" s="81" t="s">
        <v>443</v>
      </c>
      <c r="F59" s="81" t="s">
        <v>444</v>
      </c>
      <c r="G59" s="82">
        <v>105.6</v>
      </c>
      <c r="H59" s="82">
        <v>12</v>
      </c>
      <c r="I59" s="362">
        <v>-2.1</v>
      </c>
      <c r="J59" s="82">
        <v>12.4</v>
      </c>
      <c r="K59" s="82">
        <v>11.6</v>
      </c>
      <c r="L59" s="82">
        <v>106.4</v>
      </c>
      <c r="M59" s="81" t="s">
        <v>445</v>
      </c>
      <c r="N59" s="57">
        <v>7.8</v>
      </c>
      <c r="O59" s="81" t="s">
        <v>446</v>
      </c>
      <c r="P59" s="227">
        <v>4.2</v>
      </c>
      <c r="Q59" s="80">
        <v>2022</v>
      </c>
      <c r="R59" s="83"/>
      <c r="S59" s="83"/>
      <c r="T59" s="83"/>
    </row>
    <row r="60" spans="1:20" s="84" customFormat="1" ht="11.1" customHeight="1">
      <c r="A60" s="80">
        <v>2023</v>
      </c>
      <c r="B60" s="108" t="s">
        <v>447</v>
      </c>
      <c r="C60" s="81">
        <v>-23417</v>
      </c>
      <c r="D60" s="362">
        <v>-0.4</v>
      </c>
      <c r="E60" s="81" t="s">
        <v>448</v>
      </c>
      <c r="F60" s="81" t="s">
        <v>449</v>
      </c>
      <c r="G60" s="82">
        <v>105.7</v>
      </c>
      <c r="H60" s="82">
        <v>12</v>
      </c>
      <c r="I60" s="429">
        <v>0</v>
      </c>
      <c r="J60" s="82">
        <v>12.4</v>
      </c>
      <c r="K60" s="82">
        <v>11.6</v>
      </c>
      <c r="L60" s="82">
        <v>106.6</v>
      </c>
      <c r="M60" s="81" t="s">
        <v>450</v>
      </c>
      <c r="N60" s="57">
        <v>7.8</v>
      </c>
      <c r="O60" s="81" t="s">
        <v>451</v>
      </c>
      <c r="P60" s="227">
        <v>4.2</v>
      </c>
      <c r="Q60" s="80">
        <v>2023</v>
      </c>
      <c r="R60" s="83"/>
      <c r="S60" s="83"/>
      <c r="T60" s="83"/>
    </row>
    <row r="61" spans="1:20" s="84" customFormat="1" ht="11.1" customHeight="1">
      <c r="A61" s="80">
        <v>2024</v>
      </c>
      <c r="B61" s="108" t="s">
        <v>452</v>
      </c>
      <c r="C61" s="81" t="s">
        <v>489</v>
      </c>
      <c r="D61" s="362">
        <v>2.5</v>
      </c>
      <c r="E61" s="81" t="s">
        <v>453</v>
      </c>
      <c r="F61" s="81" t="s">
        <v>454</v>
      </c>
      <c r="G61" s="82">
        <v>104.7</v>
      </c>
      <c r="H61" s="82">
        <v>12.3</v>
      </c>
      <c r="I61" s="362">
        <v>0.3</v>
      </c>
      <c r="J61" s="82">
        <v>12.7</v>
      </c>
      <c r="K61" s="82">
        <v>12</v>
      </c>
      <c r="L61" s="82">
        <v>105.7</v>
      </c>
      <c r="M61" s="81" t="s">
        <v>455</v>
      </c>
      <c r="N61" s="57">
        <v>8.1</v>
      </c>
      <c r="O61" s="81" t="s">
        <v>456</v>
      </c>
      <c r="P61" s="227">
        <v>4.3</v>
      </c>
      <c r="Q61" s="80">
        <v>2024</v>
      </c>
      <c r="R61" s="83"/>
      <c r="S61" s="83"/>
      <c r="T61" s="83"/>
    </row>
    <row r="62" spans="1:20" s="84" customFormat="1" ht="18" customHeight="1" thickBot="1">
      <c r="A62" s="363">
        <v>2025</v>
      </c>
      <c r="B62" s="234" t="s">
        <v>457</v>
      </c>
      <c r="C62" s="235">
        <v>-165535</v>
      </c>
      <c r="D62" s="364">
        <v>-2.6</v>
      </c>
      <c r="E62" s="235" t="s">
        <v>458</v>
      </c>
      <c r="F62" s="235" t="s">
        <v>459</v>
      </c>
      <c r="G62" s="236">
        <v>105.4</v>
      </c>
      <c r="H62" s="236">
        <v>12</v>
      </c>
      <c r="I62" s="364">
        <v>-0.3</v>
      </c>
      <c r="J62" s="236">
        <v>12.4</v>
      </c>
      <c r="K62" s="236">
        <v>11.6</v>
      </c>
      <c r="L62" s="236">
        <v>106.5</v>
      </c>
      <c r="M62" s="235" t="s">
        <v>460</v>
      </c>
      <c r="N62" s="237">
        <v>7.7</v>
      </c>
      <c r="O62" s="235" t="s">
        <v>461</v>
      </c>
      <c r="P62" s="238">
        <v>4.3</v>
      </c>
      <c r="Q62" s="365">
        <v>2025</v>
      </c>
      <c r="R62" s="83"/>
      <c r="S62" s="83"/>
      <c r="T62" s="83"/>
    </row>
    <row r="63" spans="1:20" ht="14.25" customHeight="1">
      <c r="A63" s="85" t="s">
        <v>180</v>
      </c>
      <c r="G63" s="72"/>
      <c r="H63" s="72"/>
      <c r="I63" s="72"/>
      <c r="J63" s="25"/>
      <c r="K63" s="72"/>
      <c r="L63" s="72"/>
      <c r="R63" s="69"/>
      <c r="S63" s="69"/>
      <c r="T63" s="69"/>
    </row>
    <row r="64" spans="1:20" ht="14.25" customHeight="1">
      <c r="A64" s="85"/>
      <c r="H64" s="179"/>
      <c r="I64" s="179"/>
      <c r="M64" s="69"/>
      <c r="O64" s="69"/>
      <c r="Q64" s="69"/>
      <c r="R64" s="69"/>
      <c r="S64" s="69"/>
      <c r="T64" s="69"/>
    </row>
    <row r="65" spans="8:20" ht="14.25" customHeight="1">
      <c r="N65" s="69"/>
      <c r="P65" s="69"/>
      <c r="Q65" s="69"/>
      <c r="R65" s="69"/>
      <c r="S65" s="69"/>
      <c r="T65" s="69"/>
    </row>
    <row r="66" spans="8:20" ht="14.25" customHeight="1">
      <c r="H66" s="72"/>
      <c r="I66" s="72"/>
      <c r="M66" s="69"/>
      <c r="N66" s="69"/>
      <c r="O66" s="69"/>
      <c r="P66" s="69"/>
      <c r="Q66" s="69"/>
      <c r="R66" s="69"/>
      <c r="S66" s="69"/>
      <c r="T66" s="69"/>
    </row>
    <row r="67" spans="8:20" ht="14.25" customHeight="1">
      <c r="M67" s="69"/>
      <c r="N67" s="69"/>
      <c r="O67" s="69"/>
      <c r="P67" s="69"/>
      <c r="Q67" s="69"/>
      <c r="R67" s="69"/>
      <c r="S67" s="69"/>
      <c r="T67" s="69"/>
    </row>
    <row r="68" spans="8:20" ht="14.25" customHeight="1">
      <c r="M68" s="69"/>
      <c r="N68" s="69"/>
      <c r="O68" s="69"/>
      <c r="P68" s="69"/>
      <c r="Q68" s="69"/>
      <c r="R68" s="69"/>
      <c r="S68" s="69"/>
      <c r="T68" s="69"/>
    </row>
    <row r="69" spans="8:20" ht="14.25" customHeight="1">
      <c r="M69" s="69"/>
      <c r="N69" s="69"/>
      <c r="O69" s="69"/>
      <c r="P69" s="69"/>
      <c r="Q69" s="69"/>
      <c r="R69" s="69"/>
      <c r="S69" s="69"/>
      <c r="T69" s="69"/>
    </row>
    <row r="70" spans="8:20" ht="14.25" customHeight="1">
      <c r="M70" s="69"/>
      <c r="N70" s="69"/>
      <c r="O70" s="69"/>
      <c r="P70" s="69"/>
      <c r="Q70" s="69"/>
      <c r="R70" s="69"/>
      <c r="S70" s="69"/>
      <c r="T70" s="69"/>
    </row>
    <row r="71" spans="8:20" ht="14.25" customHeight="1">
      <c r="M71" s="69"/>
      <c r="N71" s="69"/>
      <c r="O71" s="69"/>
      <c r="P71" s="69"/>
      <c r="Q71" s="69"/>
      <c r="R71" s="69"/>
      <c r="S71" s="69"/>
      <c r="T71" s="69"/>
    </row>
    <row r="72" spans="8:20" ht="14.25" customHeight="1">
      <c r="M72" s="69"/>
      <c r="N72" s="69"/>
      <c r="O72" s="69"/>
      <c r="P72" s="69"/>
      <c r="Q72" s="69"/>
      <c r="R72" s="69"/>
      <c r="S72" s="69"/>
      <c r="T72" s="69"/>
    </row>
    <row r="73" spans="8:20" ht="14.25" customHeight="1">
      <c r="M73" s="69"/>
      <c r="N73" s="69"/>
      <c r="O73" s="69"/>
      <c r="P73" s="69"/>
      <c r="Q73" s="69"/>
      <c r="R73" s="69"/>
      <c r="S73" s="69"/>
      <c r="T73" s="69"/>
    </row>
    <row r="74" spans="8:20" ht="14.25" customHeight="1">
      <c r="M74" s="69"/>
      <c r="N74" s="69"/>
      <c r="O74" s="69"/>
      <c r="P74" s="69"/>
      <c r="Q74" s="69"/>
      <c r="R74" s="69"/>
      <c r="S74" s="69"/>
      <c r="T74" s="69"/>
    </row>
    <row r="75" spans="8:20" ht="14.25" customHeight="1">
      <c r="M75" s="69"/>
      <c r="N75" s="69"/>
      <c r="O75" s="69"/>
      <c r="P75" s="69"/>
      <c r="Q75" s="69"/>
      <c r="R75" s="69"/>
      <c r="S75" s="69"/>
      <c r="T75" s="69"/>
    </row>
    <row r="76" spans="8:20" ht="14.25" customHeight="1">
      <c r="M76" s="69"/>
      <c r="N76" s="69"/>
      <c r="O76" s="69"/>
      <c r="P76" s="69"/>
      <c r="Q76" s="69"/>
      <c r="R76" s="69"/>
      <c r="S76" s="69"/>
      <c r="T76" s="69"/>
    </row>
    <row r="77" spans="8:20" ht="14.25" customHeight="1">
      <c r="M77" s="69"/>
      <c r="N77" s="69"/>
      <c r="O77" s="69"/>
      <c r="P77" s="69"/>
      <c r="Q77" s="69"/>
      <c r="R77" s="69"/>
      <c r="S77" s="69"/>
      <c r="T77" s="69"/>
    </row>
    <row r="78" spans="8:20" ht="14.25" customHeight="1">
      <c r="M78" s="69"/>
      <c r="N78" s="69"/>
      <c r="O78" s="69"/>
      <c r="P78" s="69"/>
      <c r="Q78" s="69"/>
      <c r="R78" s="69"/>
      <c r="S78" s="69"/>
      <c r="T78" s="69"/>
    </row>
    <row r="79" spans="8:20" ht="14.25" customHeight="1">
      <c r="M79" s="69"/>
      <c r="N79" s="69"/>
      <c r="O79" s="69"/>
      <c r="P79" s="69"/>
      <c r="Q79" s="69"/>
      <c r="R79" s="69"/>
      <c r="S79" s="69"/>
      <c r="T79" s="69"/>
    </row>
    <row r="80" spans="8:20" ht="14.25" customHeight="1">
      <c r="M80" s="69"/>
      <c r="N80" s="69"/>
      <c r="O80" s="69"/>
      <c r="P80" s="69"/>
      <c r="Q80" s="69"/>
      <c r="R80" s="69"/>
      <c r="S80" s="69"/>
      <c r="T80" s="69"/>
    </row>
    <row r="81" spans="13:20" ht="14.25" customHeight="1">
      <c r="M81" s="69"/>
      <c r="N81" s="69"/>
      <c r="O81" s="69"/>
      <c r="P81" s="69"/>
      <c r="Q81" s="69"/>
      <c r="R81" s="69"/>
      <c r="S81" s="69"/>
      <c r="T81" s="69"/>
    </row>
    <row r="82" spans="13:20" ht="14.25" customHeight="1">
      <c r="M82" s="69"/>
      <c r="N82" s="69"/>
      <c r="O82" s="69"/>
      <c r="P82" s="69"/>
      <c r="Q82" s="69"/>
      <c r="R82" s="69"/>
      <c r="S82" s="69"/>
      <c r="T82" s="69"/>
    </row>
    <row r="83" spans="13:20" ht="14.25" customHeight="1">
      <c r="M83" s="69"/>
      <c r="N83" s="69"/>
      <c r="O83" s="69"/>
      <c r="P83" s="69"/>
      <c r="Q83" s="69"/>
      <c r="R83" s="69"/>
      <c r="S83" s="69"/>
      <c r="T83" s="69"/>
    </row>
    <row r="84" spans="13:20" ht="14.25" customHeight="1">
      <c r="M84" s="69"/>
      <c r="N84" s="69"/>
      <c r="O84" s="69"/>
      <c r="P84" s="69"/>
      <c r="Q84" s="69"/>
      <c r="R84" s="69"/>
      <c r="S84" s="69"/>
      <c r="T84" s="69"/>
    </row>
    <row r="85" spans="13:20" ht="14.25" customHeight="1">
      <c r="M85" s="69"/>
      <c r="N85" s="69"/>
      <c r="O85" s="69"/>
      <c r="P85" s="69"/>
      <c r="Q85" s="69"/>
      <c r="R85" s="69"/>
      <c r="S85" s="69"/>
      <c r="T85" s="69"/>
    </row>
    <row r="86" spans="13:20" ht="14.25" customHeight="1">
      <c r="M86" s="69"/>
      <c r="N86" s="69"/>
      <c r="O86" s="69"/>
      <c r="P86" s="69"/>
      <c r="Q86" s="69"/>
      <c r="R86" s="69"/>
      <c r="S86" s="69"/>
      <c r="T86" s="69"/>
    </row>
    <row r="87" spans="13:20" ht="14.25" customHeight="1">
      <c r="M87" s="69"/>
      <c r="N87" s="69"/>
      <c r="O87" s="69"/>
      <c r="P87" s="69"/>
      <c r="Q87" s="69"/>
      <c r="R87" s="69"/>
      <c r="S87" s="69"/>
      <c r="T87" s="69"/>
    </row>
    <row r="88" spans="13:20" ht="14.25" customHeight="1">
      <c r="M88" s="69"/>
      <c r="N88" s="69"/>
      <c r="O88" s="69"/>
      <c r="P88" s="69"/>
      <c r="Q88" s="69"/>
      <c r="R88" s="69"/>
      <c r="S88" s="69"/>
      <c r="T88" s="69"/>
    </row>
    <row r="89" spans="13:20" ht="14.25" customHeight="1">
      <c r="M89" s="69"/>
      <c r="N89" s="69"/>
      <c r="O89" s="69"/>
      <c r="P89" s="69"/>
      <c r="Q89" s="69"/>
      <c r="R89" s="69"/>
      <c r="S89" s="69"/>
      <c r="T89" s="69"/>
    </row>
    <row r="90" spans="13:20" ht="14.25" customHeight="1">
      <c r="M90" s="69"/>
      <c r="N90" s="69"/>
      <c r="O90" s="69"/>
      <c r="P90" s="69"/>
      <c r="Q90" s="69"/>
      <c r="R90" s="71"/>
    </row>
  </sheetData>
  <mergeCells count="8">
    <mergeCell ref="Q3:Q5"/>
    <mergeCell ref="A3:A5"/>
    <mergeCell ref="B3:G3"/>
    <mergeCell ref="H3:L3"/>
    <mergeCell ref="M3:N3"/>
    <mergeCell ref="O3:P3"/>
    <mergeCell ref="B4:G4"/>
    <mergeCell ref="H4:L4"/>
  </mergeCells>
  <phoneticPr fontId="2" type="noConversion"/>
  <conditionalFormatting sqref="C7:C62">
    <cfRule type="cellIs" dxfId="11" priority="3" operator="between">
      <formula>-999</formula>
      <formula>-999999</formula>
    </cfRule>
  </conditionalFormatting>
  <conditionalFormatting sqref="C8:C62">
    <cfRule type="cellIs" dxfId="10" priority="2" operator="between">
      <formula>-1</formula>
      <formula>-999</formula>
    </cfRule>
    <cfRule type="cellIs" dxfId="9" priority="1" operator="between">
      <formula>-1000</formula>
      <formula>-999999</formula>
    </cfRule>
  </conditionalFormatting>
  <printOptions horizontalCentered="1"/>
  <pageMargins left="0.78740157480314965" right="0.78740157480314965" top="0.78740157480314965" bottom="0.47244094488188981" header="0.51181102362204722" footer="1.0629921259842521"/>
  <pageSetup paperSize="9" scale="95" orientation="portrait" horizontalDpi="1200" verticalDpi="1200" r:id="rId1"/>
  <headerFooter alignWithMargins="0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W60"/>
  <sheetViews>
    <sheetView showGridLines="0" view="pageBreakPreview" zoomScale="115" zoomScaleNormal="100" zoomScaleSheetLayoutView="115" workbookViewId="0"/>
  </sheetViews>
  <sheetFormatPr defaultRowHeight="13.5"/>
  <cols>
    <col min="1" max="1" width="3.125" customWidth="1"/>
    <col min="2" max="2" width="6.125" style="1" customWidth="1"/>
    <col min="3" max="3" width="4.125" style="88" customWidth="1"/>
    <col min="4" max="4" width="3.375" style="258" customWidth="1"/>
    <col min="5" max="5" width="4.125" style="88" customWidth="1"/>
    <col min="6" max="6" width="3.375" style="258" customWidth="1"/>
    <col min="7" max="7" width="4.125" style="88" customWidth="1"/>
    <col min="8" max="8" width="3.375" style="258" customWidth="1"/>
    <col min="9" max="9" width="4.125" style="88" customWidth="1"/>
    <col min="10" max="10" width="3.375" style="258" customWidth="1"/>
    <col min="11" max="11" width="4.125" style="88" customWidth="1"/>
    <col min="12" max="12" width="3.375" style="258" customWidth="1"/>
    <col min="13" max="13" width="4.125" style="88" customWidth="1"/>
    <col min="14" max="14" width="3.375" style="258" customWidth="1"/>
    <col min="15" max="15" width="4.125" style="88" customWidth="1"/>
    <col min="16" max="16" width="3.375" style="258" customWidth="1"/>
    <col min="17" max="17" width="4.125" style="88" customWidth="1"/>
    <col min="18" max="18" width="3.375" style="258" customWidth="1"/>
    <col min="19" max="19" width="4.125" style="88" customWidth="1"/>
    <col min="20" max="20" width="3.375" style="258" customWidth="1"/>
    <col min="21" max="21" width="4.125" style="88" customWidth="1"/>
    <col min="22" max="22" width="3.375" style="263" customWidth="1"/>
    <col min="23" max="23" width="4.125" style="88" customWidth="1"/>
    <col min="24" max="24" width="3.375" style="263" customWidth="1"/>
    <col min="25" max="25" width="4.625" style="88" customWidth="1"/>
    <col min="26" max="26" width="3.625" style="263" customWidth="1"/>
    <col min="27" max="27" width="4.625" style="31" customWidth="1"/>
    <col min="28" max="28" width="3.625" style="263" customWidth="1"/>
    <col min="29" max="29" width="4.625" style="88" customWidth="1"/>
    <col min="30" max="30" width="3.625" style="263" customWidth="1"/>
    <col min="31" max="31" width="4.625" style="31" customWidth="1"/>
    <col min="32" max="32" width="3.625" style="263" customWidth="1"/>
    <col min="33" max="33" width="4.625" style="31" customWidth="1"/>
    <col min="34" max="34" width="3.625" style="263" customWidth="1"/>
    <col min="35" max="35" width="4.625" style="31" customWidth="1"/>
    <col min="36" max="36" width="3.625" style="263" customWidth="1"/>
    <col min="37" max="37" width="4.625" style="31" customWidth="1"/>
    <col min="38" max="38" width="3.625" style="263" customWidth="1"/>
    <col min="39" max="39" width="4.625" style="31" customWidth="1"/>
    <col min="40" max="40" width="3.625" style="263" customWidth="1"/>
    <col min="41" max="41" width="4.625" style="31" customWidth="1"/>
    <col min="42" max="42" width="3.625" style="263" customWidth="1"/>
    <col min="43" max="43" width="4.625" style="31" customWidth="1"/>
    <col min="44" max="44" width="3.625" style="263" customWidth="1"/>
    <col min="45" max="45" width="6.125" style="97" customWidth="1"/>
    <col min="46" max="46" width="3.125" customWidth="1"/>
    <col min="48" max="48" width="10.875" customWidth="1"/>
    <col min="49" max="49" width="11.25" bestFit="1" customWidth="1"/>
  </cols>
  <sheetData>
    <row r="1" spans="1:49" s="2" customFormat="1" ht="18.75">
      <c r="A1" s="66" t="str">
        <f>"2. 성·연령별 이동자 수 및 이동률 추이, "&amp;LEFT(C3,4)&amp;"-"&amp;LEFT(AQ3,4)</f>
        <v>2. 성·연령별 이동자 수 및 이동률 추이, 2005-2025</v>
      </c>
      <c r="D1" s="253"/>
      <c r="F1" s="253"/>
      <c r="H1" s="253"/>
      <c r="J1" s="253"/>
      <c r="L1" s="253"/>
      <c r="M1" s="86"/>
      <c r="N1" s="253"/>
      <c r="O1" s="86"/>
      <c r="P1" s="253"/>
      <c r="Q1" s="86"/>
      <c r="R1" s="253"/>
      <c r="S1" s="86"/>
      <c r="T1" s="253"/>
      <c r="U1" s="86"/>
      <c r="V1" s="259"/>
      <c r="W1" s="86"/>
      <c r="X1" s="259"/>
      <c r="Y1" s="86"/>
      <c r="Z1" s="259"/>
      <c r="AA1" s="109"/>
      <c r="AB1" s="259"/>
      <c r="AC1" s="86"/>
      <c r="AD1" s="259"/>
      <c r="AE1" s="109"/>
      <c r="AF1" s="259"/>
      <c r="AG1" s="109"/>
      <c r="AH1" s="259"/>
      <c r="AI1" s="109"/>
      <c r="AJ1" s="259"/>
      <c r="AK1" s="109"/>
      <c r="AL1" s="259"/>
      <c r="AM1" s="109"/>
      <c r="AN1" s="259"/>
      <c r="AO1" s="109"/>
      <c r="AP1" s="259"/>
      <c r="AQ1" s="109"/>
      <c r="AR1" s="259"/>
      <c r="AS1" s="89"/>
    </row>
    <row r="2" spans="1:49" s="4" customFormat="1" ht="15" customHeight="1" thickBot="1">
      <c r="B2" s="5"/>
      <c r="C2" s="87"/>
      <c r="D2" s="256"/>
      <c r="E2" s="87"/>
      <c r="F2" s="256"/>
      <c r="G2" s="87"/>
      <c r="H2" s="256"/>
      <c r="I2" s="87"/>
      <c r="J2" s="256"/>
      <c r="K2" s="87"/>
      <c r="L2" s="256"/>
      <c r="M2" s="87"/>
      <c r="N2" s="256"/>
      <c r="O2" s="87"/>
      <c r="P2" s="256"/>
      <c r="Q2" s="87"/>
      <c r="R2" s="256"/>
      <c r="S2" s="87"/>
      <c r="T2" s="256"/>
      <c r="U2" s="87"/>
      <c r="V2" s="260"/>
      <c r="W2" s="87"/>
      <c r="X2" s="260"/>
      <c r="Y2" s="87"/>
      <c r="Z2" s="260"/>
      <c r="AA2" s="27"/>
      <c r="AB2" s="260"/>
      <c r="AC2" s="87"/>
      <c r="AD2" s="260"/>
      <c r="AE2" s="27"/>
      <c r="AF2" s="260"/>
      <c r="AG2" s="27"/>
      <c r="AH2" s="260"/>
      <c r="AI2" s="27"/>
      <c r="AJ2" s="260"/>
      <c r="AK2" s="27"/>
      <c r="AL2" s="260"/>
      <c r="AM2" s="27"/>
      <c r="AN2" s="260"/>
      <c r="AO2" s="27"/>
      <c r="AP2" s="260"/>
      <c r="AQ2" s="27"/>
      <c r="AR2" s="260"/>
      <c r="AT2" s="56" t="s">
        <v>152</v>
      </c>
    </row>
    <row r="3" spans="1:49" s="6" customFormat="1" ht="15" customHeight="1">
      <c r="A3" s="444" t="s">
        <v>133</v>
      </c>
      <c r="B3" s="444" t="s">
        <v>134</v>
      </c>
      <c r="C3" s="442" t="str">
        <f>LEFT(E3,4)-1&amp;"년"</f>
        <v>2005년</v>
      </c>
      <c r="D3" s="443"/>
      <c r="E3" s="442" t="str">
        <f>LEFT(G3,4)-1&amp;"년"</f>
        <v>2006년</v>
      </c>
      <c r="F3" s="443"/>
      <c r="G3" s="442" t="str">
        <f>LEFT(I3,4)-1&amp;"년"</f>
        <v>2007년</v>
      </c>
      <c r="H3" s="443"/>
      <c r="I3" s="442" t="str">
        <f>LEFT(K3,4)-1&amp;"년"</f>
        <v>2008년</v>
      </c>
      <c r="J3" s="443"/>
      <c r="K3" s="442" t="str">
        <f>LEFT(M3,4)-1&amp;"년"</f>
        <v>2009년</v>
      </c>
      <c r="L3" s="443"/>
      <c r="M3" s="442" t="str">
        <f>LEFT(O3,4)-1&amp;"년"</f>
        <v>2010년</v>
      </c>
      <c r="N3" s="443"/>
      <c r="O3" s="442" t="str">
        <f>LEFT(Q3,4)-1&amp;"년"</f>
        <v>2011년</v>
      </c>
      <c r="P3" s="443"/>
      <c r="Q3" s="442" t="str">
        <f>LEFT(S3,4)-1&amp;"년"</f>
        <v>2012년</v>
      </c>
      <c r="R3" s="443"/>
      <c r="S3" s="442" t="str">
        <f>LEFT(U3,4)-1&amp;"년"</f>
        <v>2013년</v>
      </c>
      <c r="T3" s="443"/>
      <c r="U3" s="442" t="str">
        <f>LEFT(W3,4)-1&amp;"년"</f>
        <v>2014년</v>
      </c>
      <c r="V3" s="443"/>
      <c r="W3" s="442" t="str">
        <f>LEFT(Y3,4)-1&amp;"년"</f>
        <v>2015년</v>
      </c>
      <c r="X3" s="443"/>
      <c r="Y3" s="442" t="str">
        <f>LEFT(AA3,4)-1&amp;"년"</f>
        <v>2016년</v>
      </c>
      <c r="Z3" s="443"/>
      <c r="AA3" s="442" t="str">
        <f>LEFT(AC3,4)-1&amp;"년"</f>
        <v>2017년</v>
      </c>
      <c r="AB3" s="443"/>
      <c r="AC3" s="442" t="str">
        <f>LEFT(AE3,4)-1&amp;"년"</f>
        <v>2018년</v>
      </c>
      <c r="AD3" s="443"/>
      <c r="AE3" s="442" t="str">
        <f>LEFT(AG3,4)-1&amp;"년"</f>
        <v>2019년</v>
      </c>
      <c r="AF3" s="443"/>
      <c r="AG3" s="442" t="str">
        <f>LEFT(AI3,4)-1&amp;"년"</f>
        <v>2020년</v>
      </c>
      <c r="AH3" s="443"/>
      <c r="AI3" s="442" t="str">
        <f>LEFT(AK3,4)-1&amp;"년"</f>
        <v>2021년</v>
      </c>
      <c r="AJ3" s="443"/>
      <c r="AK3" s="442" t="str">
        <f>LEFT(AM3,4)-1&amp;"년"</f>
        <v>2022년</v>
      </c>
      <c r="AL3" s="443"/>
      <c r="AM3" s="442" t="str">
        <f>LEFT(AO3,4)-1&amp;"년"</f>
        <v>2023년</v>
      </c>
      <c r="AN3" s="443"/>
      <c r="AO3" s="442" t="str">
        <f>LEFT(AQ3,4)-1&amp;"년"</f>
        <v>2024년</v>
      </c>
      <c r="AP3" s="443"/>
      <c r="AQ3" s="452" t="str">
        <f>표지!G5&amp;"년"</f>
        <v>2025년</v>
      </c>
      <c r="AR3" s="453"/>
      <c r="AS3" s="454" t="s">
        <v>134</v>
      </c>
      <c r="AT3" s="460" t="s">
        <v>133</v>
      </c>
    </row>
    <row r="4" spans="1:49" s="6" customFormat="1" ht="15" customHeight="1">
      <c r="A4" s="445"/>
      <c r="B4" s="445"/>
      <c r="C4" s="200" t="s">
        <v>135</v>
      </c>
      <c r="D4" s="254" t="s">
        <v>60</v>
      </c>
      <c r="E4" s="200" t="s">
        <v>61</v>
      </c>
      <c r="F4" s="254" t="s">
        <v>60</v>
      </c>
      <c r="G4" s="200" t="s">
        <v>61</v>
      </c>
      <c r="H4" s="254" t="s">
        <v>60</v>
      </c>
      <c r="I4" s="200" t="s">
        <v>61</v>
      </c>
      <c r="J4" s="254" t="s">
        <v>60</v>
      </c>
      <c r="K4" s="200" t="s">
        <v>61</v>
      </c>
      <c r="L4" s="254" t="s">
        <v>60</v>
      </c>
      <c r="M4" s="200" t="s">
        <v>61</v>
      </c>
      <c r="N4" s="254" t="s">
        <v>60</v>
      </c>
      <c r="O4" s="200" t="s">
        <v>61</v>
      </c>
      <c r="P4" s="254" t="s">
        <v>60</v>
      </c>
      <c r="Q4" s="200" t="s">
        <v>61</v>
      </c>
      <c r="R4" s="254" t="s">
        <v>60</v>
      </c>
      <c r="S4" s="200" t="s">
        <v>61</v>
      </c>
      <c r="T4" s="254" t="s">
        <v>60</v>
      </c>
      <c r="U4" s="200" t="s">
        <v>61</v>
      </c>
      <c r="V4" s="254" t="s">
        <v>60</v>
      </c>
      <c r="W4" s="241" t="s">
        <v>61</v>
      </c>
      <c r="X4" s="265" t="s">
        <v>60</v>
      </c>
      <c r="Y4" s="200" t="s">
        <v>61</v>
      </c>
      <c r="Z4" s="254" t="s">
        <v>60</v>
      </c>
      <c r="AA4" s="200" t="s">
        <v>61</v>
      </c>
      <c r="AB4" s="254" t="s">
        <v>60</v>
      </c>
      <c r="AC4" s="200" t="s">
        <v>61</v>
      </c>
      <c r="AD4" s="254" t="s">
        <v>60</v>
      </c>
      <c r="AE4" s="200" t="s">
        <v>61</v>
      </c>
      <c r="AF4" s="254" t="s">
        <v>60</v>
      </c>
      <c r="AG4" s="200" t="s">
        <v>61</v>
      </c>
      <c r="AH4" s="254" t="s">
        <v>60</v>
      </c>
      <c r="AI4" s="200" t="s">
        <v>61</v>
      </c>
      <c r="AJ4" s="254" t="s">
        <v>60</v>
      </c>
      <c r="AK4" s="200" t="s">
        <v>61</v>
      </c>
      <c r="AL4" s="254" t="s">
        <v>60</v>
      </c>
      <c r="AM4" s="200" t="s">
        <v>61</v>
      </c>
      <c r="AN4" s="254" t="s">
        <v>60</v>
      </c>
      <c r="AO4" s="200" t="s">
        <v>61</v>
      </c>
      <c r="AP4" s="254" t="s">
        <v>60</v>
      </c>
      <c r="AQ4" s="200" t="s">
        <v>61</v>
      </c>
      <c r="AR4" s="254" t="s">
        <v>60</v>
      </c>
      <c r="AS4" s="455"/>
      <c r="AT4" s="461"/>
    </row>
    <row r="5" spans="1:49" s="6" customFormat="1" ht="5.0999999999999996" customHeight="1">
      <c r="A5" s="446" t="s">
        <v>136</v>
      </c>
      <c r="B5" s="201"/>
      <c r="C5" s="202"/>
      <c r="D5" s="255"/>
      <c r="E5" s="202"/>
      <c r="F5" s="255"/>
      <c r="G5" s="202"/>
      <c r="H5" s="255"/>
      <c r="I5" s="202"/>
      <c r="J5" s="255"/>
      <c r="K5" s="202"/>
      <c r="L5" s="255"/>
      <c r="M5" s="202"/>
      <c r="N5" s="255"/>
      <c r="O5" s="202"/>
      <c r="P5" s="255"/>
      <c r="Q5" s="202"/>
      <c r="R5" s="255"/>
      <c r="S5" s="202"/>
      <c r="T5" s="255"/>
      <c r="U5" s="202"/>
      <c r="V5" s="261"/>
      <c r="W5" s="202"/>
      <c r="X5" s="261"/>
      <c r="Y5" s="202"/>
      <c r="Z5" s="261"/>
      <c r="AA5" s="202"/>
      <c r="AB5" s="261"/>
      <c r="AC5" s="202"/>
      <c r="AD5" s="261"/>
      <c r="AE5" s="203"/>
      <c r="AF5" s="261"/>
      <c r="AG5" s="202"/>
      <c r="AH5" s="261"/>
      <c r="AI5" s="203"/>
      <c r="AJ5" s="261"/>
      <c r="AK5" s="203"/>
      <c r="AL5" s="261"/>
      <c r="AM5" s="203"/>
      <c r="AN5" s="261"/>
      <c r="AO5" s="203"/>
      <c r="AP5" s="261"/>
      <c r="AQ5" s="203"/>
      <c r="AR5" s="261"/>
      <c r="AS5" s="204"/>
      <c r="AT5" s="458" t="s">
        <v>136</v>
      </c>
    </row>
    <row r="6" spans="1:49" s="276" customFormat="1" ht="12" customHeight="1">
      <c r="A6" s="447"/>
      <c r="B6" s="274" t="s">
        <v>48</v>
      </c>
      <c r="C6" s="375">
        <v>8795397</v>
      </c>
      <c r="D6" s="376">
        <v>18.066655246</v>
      </c>
      <c r="E6" s="375">
        <v>9342074</v>
      </c>
      <c r="F6" s="376">
        <v>19.109515496</v>
      </c>
      <c r="G6" s="375">
        <v>9070102</v>
      </c>
      <c r="H6" s="376">
        <v>18.461299912000001</v>
      </c>
      <c r="I6" s="375">
        <v>8808256</v>
      </c>
      <c r="J6" s="376">
        <v>17.828800237999999</v>
      </c>
      <c r="K6" s="375">
        <v>8487275</v>
      </c>
      <c r="L6" s="376">
        <v>17.091883730999999</v>
      </c>
      <c r="M6" s="375">
        <v>8226594</v>
      </c>
      <c r="N6" s="376">
        <v>16.492832812</v>
      </c>
      <c r="O6" s="375">
        <v>8127195</v>
      </c>
      <c r="P6" s="376">
        <v>16.218231128999999</v>
      </c>
      <c r="Q6" s="375">
        <v>7506691</v>
      </c>
      <c r="R6" s="376">
        <v>14.9104033</v>
      </c>
      <c r="S6" s="375">
        <v>7411784</v>
      </c>
      <c r="T6" s="376">
        <v>14.659686775000001</v>
      </c>
      <c r="U6" s="375">
        <v>7629098</v>
      </c>
      <c r="V6" s="376">
        <v>15.028808885</v>
      </c>
      <c r="W6" s="375">
        <v>7755286</v>
      </c>
      <c r="X6" s="376">
        <v>15.220852509</v>
      </c>
      <c r="Y6" s="375">
        <v>7378430</v>
      </c>
      <c r="Z6" s="376">
        <v>14.435533117</v>
      </c>
      <c r="AA6" s="375">
        <v>7154226</v>
      </c>
      <c r="AB6" s="376">
        <v>13.964723186000001</v>
      </c>
      <c r="AC6" s="375">
        <v>7297099</v>
      </c>
      <c r="AD6" s="376">
        <v>14.224120522</v>
      </c>
      <c r="AE6" s="375">
        <v>7104398</v>
      </c>
      <c r="AF6" s="376">
        <v>13.838633586</v>
      </c>
      <c r="AG6" s="375">
        <v>7735491</v>
      </c>
      <c r="AH6" s="376">
        <v>15.064464707999999</v>
      </c>
      <c r="AI6" s="375">
        <v>7213422</v>
      </c>
      <c r="AJ6" s="376">
        <v>14.05214277</v>
      </c>
      <c r="AK6" s="375">
        <v>6152155</v>
      </c>
      <c r="AL6" s="376">
        <v>12.002062070999999</v>
      </c>
      <c r="AM6" s="375">
        <v>6128738</v>
      </c>
      <c r="AN6" s="376">
        <v>11.98285649</v>
      </c>
      <c r="AO6" s="375">
        <v>6283319</v>
      </c>
      <c r="AP6" s="376">
        <v>12.311240575999999</v>
      </c>
      <c r="AQ6" s="375">
        <v>6117784</v>
      </c>
      <c r="AR6" s="376">
        <v>12.010031615999999</v>
      </c>
      <c r="AS6" s="275" t="s">
        <v>48</v>
      </c>
      <c r="AT6" s="456"/>
    </row>
    <row r="7" spans="1:49" s="36" customFormat="1" ht="11.85" customHeight="1">
      <c r="A7" s="447"/>
      <c r="B7" s="266" t="s">
        <v>23</v>
      </c>
      <c r="C7" s="369">
        <v>603115</v>
      </c>
      <c r="D7" s="370">
        <v>23.827565568000001</v>
      </c>
      <c r="E7" s="369">
        <v>598523</v>
      </c>
      <c r="F7" s="370">
        <v>25.221453551</v>
      </c>
      <c r="G7" s="369">
        <v>554494</v>
      </c>
      <c r="H7" s="370">
        <v>23.940280335000001</v>
      </c>
      <c r="I7" s="369">
        <v>543050</v>
      </c>
      <c r="J7" s="370">
        <v>23.581013950999999</v>
      </c>
      <c r="K7" s="369">
        <v>527469</v>
      </c>
      <c r="L7" s="370">
        <v>23.167710702000001</v>
      </c>
      <c r="M7" s="369">
        <v>500343</v>
      </c>
      <c r="N7" s="370">
        <v>21.933324566</v>
      </c>
      <c r="O7" s="369">
        <v>505325</v>
      </c>
      <c r="P7" s="370">
        <v>21.842814727</v>
      </c>
      <c r="Q7" s="369">
        <v>457889</v>
      </c>
      <c r="R7" s="370">
        <v>19.699683395000001</v>
      </c>
      <c r="S7" s="369">
        <v>459745</v>
      </c>
      <c r="T7" s="370">
        <v>19.896084832</v>
      </c>
      <c r="U7" s="369">
        <v>461415</v>
      </c>
      <c r="V7" s="370">
        <v>20.085589514999999</v>
      </c>
      <c r="W7" s="369">
        <v>451344</v>
      </c>
      <c r="X7" s="370">
        <v>19.796006535</v>
      </c>
      <c r="Y7" s="369">
        <v>417530</v>
      </c>
      <c r="Z7" s="370">
        <v>18.682083760000001</v>
      </c>
      <c r="AA7" s="369">
        <v>387118</v>
      </c>
      <c r="AB7" s="370">
        <v>18.080062322</v>
      </c>
      <c r="AC7" s="369">
        <v>379926</v>
      </c>
      <c r="AD7" s="370">
        <v>18.750953153000001</v>
      </c>
      <c r="AE7" s="369">
        <v>337461</v>
      </c>
      <c r="AF7" s="370">
        <v>17.675675930000001</v>
      </c>
      <c r="AG7" s="369">
        <v>337233</v>
      </c>
      <c r="AH7" s="370">
        <v>19.154022575999999</v>
      </c>
      <c r="AI7" s="369">
        <v>273394</v>
      </c>
      <c r="AJ7" s="370">
        <v>17.050806781999999</v>
      </c>
      <c r="AK7" s="369">
        <v>217118</v>
      </c>
      <c r="AL7" s="370">
        <v>14.682744438</v>
      </c>
      <c r="AM7" s="369">
        <v>231728</v>
      </c>
      <c r="AN7" s="370">
        <v>16.782094503</v>
      </c>
      <c r="AO7" s="369">
        <v>230839</v>
      </c>
      <c r="AP7" s="370">
        <v>17.717309297</v>
      </c>
      <c r="AQ7" s="369">
        <v>202025</v>
      </c>
      <c r="AR7" s="370">
        <v>15.997469228</v>
      </c>
      <c r="AS7" s="267" t="s">
        <v>23</v>
      </c>
      <c r="AT7" s="456"/>
      <c r="AV7" s="268"/>
      <c r="AW7" s="269"/>
    </row>
    <row r="8" spans="1:49" s="36" customFormat="1" ht="11.85" customHeight="1">
      <c r="A8" s="447"/>
      <c r="B8" s="266" t="s">
        <v>24</v>
      </c>
      <c r="C8" s="369">
        <v>613104</v>
      </c>
      <c r="D8" s="370">
        <v>18.590807208000001</v>
      </c>
      <c r="E8" s="369">
        <v>619971</v>
      </c>
      <c r="F8" s="370">
        <v>19.385579706000001</v>
      </c>
      <c r="G8" s="369">
        <v>560413</v>
      </c>
      <c r="H8" s="370">
        <v>18.407154581</v>
      </c>
      <c r="I8" s="369">
        <v>522592</v>
      </c>
      <c r="J8" s="370">
        <v>18.139716834000001</v>
      </c>
      <c r="K8" s="369">
        <v>474368</v>
      </c>
      <c r="L8" s="370">
        <v>17.355932202999998</v>
      </c>
      <c r="M8" s="369">
        <v>433848</v>
      </c>
      <c r="N8" s="370">
        <v>16.964980849</v>
      </c>
      <c r="O8" s="369">
        <v>402505</v>
      </c>
      <c r="P8" s="370">
        <v>16.769790919999998</v>
      </c>
      <c r="Q8" s="369">
        <v>359933</v>
      </c>
      <c r="R8" s="370">
        <v>15.346527266000001</v>
      </c>
      <c r="S8" s="369">
        <v>359560</v>
      </c>
      <c r="T8" s="370">
        <v>15.410634521</v>
      </c>
      <c r="U8" s="369">
        <v>357208</v>
      </c>
      <c r="V8" s="370">
        <v>15.475414268</v>
      </c>
      <c r="W8" s="369">
        <v>348704</v>
      </c>
      <c r="X8" s="370">
        <v>15.067292166</v>
      </c>
      <c r="Y8" s="369">
        <v>325398</v>
      </c>
      <c r="Z8" s="370">
        <v>13.867755183</v>
      </c>
      <c r="AA8" s="369">
        <v>314134</v>
      </c>
      <c r="AB8" s="370">
        <v>13.328439838</v>
      </c>
      <c r="AC8" s="369">
        <v>318132</v>
      </c>
      <c r="AD8" s="370">
        <v>13.593479205</v>
      </c>
      <c r="AE8" s="369">
        <v>296505</v>
      </c>
      <c r="AF8" s="370">
        <v>12.762899458</v>
      </c>
      <c r="AG8" s="369">
        <v>322547</v>
      </c>
      <c r="AH8" s="370">
        <v>13.991001085000001</v>
      </c>
      <c r="AI8" s="369">
        <v>283262</v>
      </c>
      <c r="AJ8" s="370">
        <v>12.535641534</v>
      </c>
      <c r="AK8" s="369">
        <v>227879</v>
      </c>
      <c r="AL8" s="370">
        <v>10.521424082999999</v>
      </c>
      <c r="AM8" s="369">
        <v>227062</v>
      </c>
      <c r="AN8" s="370">
        <v>11.074925557</v>
      </c>
      <c r="AO8" s="369">
        <v>221747</v>
      </c>
      <c r="AP8" s="370">
        <v>11.477516702999999</v>
      </c>
      <c r="AQ8" s="369">
        <v>192129</v>
      </c>
      <c r="AR8" s="370">
        <v>10.761491661999999</v>
      </c>
      <c r="AS8" s="267" t="s">
        <v>24</v>
      </c>
      <c r="AT8" s="456"/>
      <c r="AV8" s="268"/>
      <c r="AW8" s="269"/>
    </row>
    <row r="9" spans="1:49" s="36" customFormat="1" ht="11.85" customHeight="1">
      <c r="A9" s="447"/>
      <c r="B9" s="270" t="s">
        <v>25</v>
      </c>
      <c r="C9" s="369">
        <v>523625</v>
      </c>
      <c r="D9" s="370">
        <v>14.822525992999999</v>
      </c>
      <c r="E9" s="369">
        <v>557515</v>
      </c>
      <c r="F9" s="370">
        <v>15.672763746999999</v>
      </c>
      <c r="G9" s="369">
        <v>543745</v>
      </c>
      <c r="H9" s="370">
        <v>15.442620092</v>
      </c>
      <c r="I9" s="369">
        <v>528646</v>
      </c>
      <c r="J9" s="370">
        <v>15.28765385</v>
      </c>
      <c r="K9" s="369">
        <v>490984</v>
      </c>
      <c r="L9" s="370">
        <v>14.551679559</v>
      </c>
      <c r="M9" s="369">
        <v>458085</v>
      </c>
      <c r="N9" s="370">
        <v>13.920729773</v>
      </c>
      <c r="O9" s="369">
        <v>437008</v>
      </c>
      <c r="P9" s="370">
        <v>13.691374498</v>
      </c>
      <c r="Q9" s="369">
        <v>376610</v>
      </c>
      <c r="R9" s="370">
        <v>12.390867193</v>
      </c>
      <c r="S9" s="369">
        <v>343609</v>
      </c>
      <c r="T9" s="370">
        <v>11.941723414</v>
      </c>
      <c r="U9" s="369">
        <v>327573</v>
      </c>
      <c r="V9" s="370">
        <v>11.992672004999999</v>
      </c>
      <c r="W9" s="369">
        <v>307697</v>
      </c>
      <c r="X9" s="370">
        <v>12.033191126</v>
      </c>
      <c r="Y9" s="369">
        <v>263887</v>
      </c>
      <c r="Z9" s="370">
        <v>10.992268792999999</v>
      </c>
      <c r="AA9" s="369">
        <v>245501</v>
      </c>
      <c r="AB9" s="370">
        <v>10.463682007999999</v>
      </c>
      <c r="AC9" s="369">
        <v>247954</v>
      </c>
      <c r="AD9" s="370">
        <v>10.622713603999999</v>
      </c>
      <c r="AE9" s="369">
        <v>237099</v>
      </c>
      <c r="AF9" s="370">
        <v>10.268786957</v>
      </c>
      <c r="AG9" s="369">
        <v>249077</v>
      </c>
      <c r="AH9" s="370">
        <v>10.759340021</v>
      </c>
      <c r="AI9" s="369">
        <v>226828</v>
      </c>
      <c r="AJ9" s="370">
        <v>9.6636954900000003</v>
      </c>
      <c r="AK9" s="369">
        <v>191329</v>
      </c>
      <c r="AL9" s="370">
        <v>8.1147359170000009</v>
      </c>
      <c r="AM9" s="369">
        <v>196255</v>
      </c>
      <c r="AN9" s="370">
        <v>8.3815249840000003</v>
      </c>
      <c r="AO9" s="369">
        <v>206209</v>
      </c>
      <c r="AP9" s="370">
        <v>8.8700092779999995</v>
      </c>
      <c r="AQ9" s="369">
        <v>195144</v>
      </c>
      <c r="AR9" s="370">
        <v>8.4571683150000005</v>
      </c>
      <c r="AS9" s="271" t="s">
        <v>25</v>
      </c>
      <c r="AT9" s="456"/>
      <c r="AV9" s="268"/>
      <c r="AW9" s="269"/>
    </row>
    <row r="10" spans="1:49" s="36" customFormat="1" ht="11.85" customHeight="1">
      <c r="A10" s="447"/>
      <c r="B10" s="270" t="s">
        <v>26</v>
      </c>
      <c r="C10" s="369">
        <v>440970</v>
      </c>
      <c r="D10" s="370">
        <v>14.055255254</v>
      </c>
      <c r="E10" s="369">
        <v>468347</v>
      </c>
      <c r="F10" s="370">
        <v>14.779994887999999</v>
      </c>
      <c r="G10" s="369">
        <v>476548</v>
      </c>
      <c r="H10" s="370">
        <v>14.611349651999999</v>
      </c>
      <c r="I10" s="369">
        <v>481190</v>
      </c>
      <c r="J10" s="370">
        <v>14.323245335999999</v>
      </c>
      <c r="K10" s="369">
        <v>480721</v>
      </c>
      <c r="L10" s="370">
        <v>13.957345868000001</v>
      </c>
      <c r="M10" s="369">
        <v>476305</v>
      </c>
      <c r="N10" s="370">
        <v>13.533929657</v>
      </c>
      <c r="O10" s="369">
        <v>488089</v>
      </c>
      <c r="P10" s="370">
        <v>13.769632607</v>
      </c>
      <c r="Q10" s="369">
        <v>443122</v>
      </c>
      <c r="R10" s="370">
        <v>12.628645624000001</v>
      </c>
      <c r="S10" s="369">
        <v>429314</v>
      </c>
      <c r="T10" s="370">
        <v>12.456990979</v>
      </c>
      <c r="U10" s="369">
        <v>426241</v>
      </c>
      <c r="V10" s="370">
        <v>12.669232569</v>
      </c>
      <c r="W10" s="369">
        <v>423725</v>
      </c>
      <c r="X10" s="370">
        <v>12.906577367000001</v>
      </c>
      <c r="Y10" s="369">
        <v>385388</v>
      </c>
      <c r="Z10" s="370">
        <v>12.097989863</v>
      </c>
      <c r="AA10" s="369">
        <v>360288</v>
      </c>
      <c r="AB10" s="370">
        <v>11.874593785</v>
      </c>
      <c r="AC10" s="369">
        <v>343080</v>
      </c>
      <c r="AD10" s="370">
        <v>11.945574309</v>
      </c>
      <c r="AE10" s="369">
        <v>330065</v>
      </c>
      <c r="AF10" s="370">
        <v>12.111165947</v>
      </c>
      <c r="AG10" s="369">
        <v>324253</v>
      </c>
      <c r="AH10" s="370">
        <v>12.710754511999999</v>
      </c>
      <c r="AI10" s="369">
        <v>286349</v>
      </c>
      <c r="AJ10" s="370">
        <v>11.95578744</v>
      </c>
      <c r="AK10" s="369">
        <v>254246</v>
      </c>
      <c r="AL10" s="370">
        <v>10.860883246</v>
      </c>
      <c r="AM10" s="369">
        <v>252451</v>
      </c>
      <c r="AN10" s="370">
        <v>10.838146691</v>
      </c>
      <c r="AO10" s="369">
        <v>260603</v>
      </c>
      <c r="AP10" s="370">
        <v>11.309470596000001</v>
      </c>
      <c r="AQ10" s="369">
        <v>260317</v>
      </c>
      <c r="AR10" s="370">
        <v>11.267802550000001</v>
      </c>
      <c r="AS10" s="271" t="s">
        <v>26</v>
      </c>
      <c r="AT10" s="456"/>
      <c r="AV10" s="268"/>
      <c r="AW10" s="269"/>
    </row>
    <row r="11" spans="1:49" s="36" customFormat="1" ht="11.85" customHeight="1">
      <c r="A11" s="447"/>
      <c r="B11" s="270" t="s">
        <v>27</v>
      </c>
      <c r="C11" s="369">
        <v>795088</v>
      </c>
      <c r="D11" s="370">
        <v>20.907132382</v>
      </c>
      <c r="E11" s="369">
        <v>791453</v>
      </c>
      <c r="F11" s="370">
        <v>21.974843625999998</v>
      </c>
      <c r="G11" s="369">
        <v>725856</v>
      </c>
      <c r="H11" s="370">
        <v>21.408031314999999</v>
      </c>
      <c r="I11" s="369">
        <v>651742</v>
      </c>
      <c r="J11" s="370">
        <v>20.204837873999999</v>
      </c>
      <c r="K11" s="369">
        <v>593024</v>
      </c>
      <c r="L11" s="370">
        <v>18.83165279</v>
      </c>
      <c r="M11" s="369">
        <v>577490</v>
      </c>
      <c r="N11" s="370">
        <v>18.463113417999999</v>
      </c>
      <c r="O11" s="369">
        <v>577497</v>
      </c>
      <c r="P11" s="370">
        <v>18.273076166999999</v>
      </c>
      <c r="Q11" s="369">
        <v>559264</v>
      </c>
      <c r="R11" s="370">
        <v>17.194002832999999</v>
      </c>
      <c r="S11" s="369">
        <v>562797</v>
      </c>
      <c r="T11" s="370">
        <v>16.804530440000001</v>
      </c>
      <c r="U11" s="369">
        <v>605311</v>
      </c>
      <c r="V11" s="370">
        <v>17.628093306</v>
      </c>
      <c r="W11" s="369">
        <v>648271</v>
      </c>
      <c r="X11" s="370">
        <v>18.472206392</v>
      </c>
      <c r="Y11" s="369">
        <v>639063</v>
      </c>
      <c r="Z11" s="370">
        <v>18.079777428</v>
      </c>
      <c r="AA11" s="369">
        <v>625278</v>
      </c>
      <c r="AB11" s="370">
        <v>17.870400881999998</v>
      </c>
      <c r="AC11" s="369">
        <v>636353</v>
      </c>
      <c r="AD11" s="370">
        <v>18.517953760000001</v>
      </c>
      <c r="AE11" s="369">
        <v>645758</v>
      </c>
      <c r="AF11" s="370">
        <v>19.254511523000001</v>
      </c>
      <c r="AG11" s="369">
        <v>714597</v>
      </c>
      <c r="AH11" s="370">
        <v>21.83799295</v>
      </c>
      <c r="AI11" s="369">
        <v>689609</v>
      </c>
      <c r="AJ11" s="370">
        <v>21.719865890000001</v>
      </c>
      <c r="AK11" s="369">
        <v>617539</v>
      </c>
      <c r="AL11" s="370">
        <v>20.423883751999998</v>
      </c>
      <c r="AM11" s="369">
        <v>578264</v>
      </c>
      <c r="AN11" s="370">
        <v>20.207348761999999</v>
      </c>
      <c r="AO11" s="369">
        <v>589196</v>
      </c>
      <c r="AP11" s="370">
        <v>21.700087434</v>
      </c>
      <c r="AQ11" s="369">
        <v>568413</v>
      </c>
      <c r="AR11" s="370">
        <v>22.36919104</v>
      </c>
      <c r="AS11" s="271" t="s">
        <v>27</v>
      </c>
      <c r="AT11" s="456"/>
      <c r="AV11" s="268"/>
      <c r="AW11" s="269"/>
    </row>
    <row r="12" spans="1:49" s="36" customFormat="1" ht="11.85" customHeight="1">
      <c r="A12" s="447"/>
      <c r="B12" s="270" t="s">
        <v>28</v>
      </c>
      <c r="C12" s="369">
        <v>1191456</v>
      </c>
      <c r="D12" s="370">
        <v>30.593266819</v>
      </c>
      <c r="E12" s="369">
        <v>1268234</v>
      </c>
      <c r="F12" s="370">
        <v>32.063956296000001</v>
      </c>
      <c r="G12" s="369">
        <v>1252311</v>
      </c>
      <c r="H12" s="370">
        <v>31.197639533</v>
      </c>
      <c r="I12" s="369">
        <v>1197850</v>
      </c>
      <c r="J12" s="370">
        <v>29.589993871000001</v>
      </c>
      <c r="K12" s="369">
        <v>1108256</v>
      </c>
      <c r="L12" s="370">
        <v>27.860538429000002</v>
      </c>
      <c r="M12" s="369">
        <v>1040901</v>
      </c>
      <c r="N12" s="370">
        <v>27.394258237999999</v>
      </c>
      <c r="O12" s="369">
        <v>966132</v>
      </c>
      <c r="P12" s="370">
        <v>26.842480340000002</v>
      </c>
      <c r="Q12" s="369">
        <v>860960</v>
      </c>
      <c r="R12" s="370">
        <v>25.394031329000001</v>
      </c>
      <c r="S12" s="369">
        <v>794762</v>
      </c>
      <c r="T12" s="370">
        <v>24.630180975999998</v>
      </c>
      <c r="U12" s="369">
        <v>796270</v>
      </c>
      <c r="V12" s="370">
        <v>25.267174822000001</v>
      </c>
      <c r="W12" s="369">
        <v>814025</v>
      </c>
      <c r="X12" s="370">
        <v>26.005202797999999</v>
      </c>
      <c r="Y12" s="369">
        <v>802204</v>
      </c>
      <c r="Z12" s="370">
        <v>25.376011975000001</v>
      </c>
      <c r="AA12" s="369">
        <v>818455</v>
      </c>
      <c r="AB12" s="370">
        <v>25.165630315000001</v>
      </c>
      <c r="AC12" s="369">
        <v>882610</v>
      </c>
      <c r="AD12" s="370">
        <v>26.362581449</v>
      </c>
      <c r="AE12" s="369">
        <v>918309</v>
      </c>
      <c r="AF12" s="370">
        <v>26.766013471000001</v>
      </c>
      <c r="AG12" s="369">
        <v>1014066</v>
      </c>
      <c r="AH12" s="370">
        <v>28.930497150000001</v>
      </c>
      <c r="AI12" s="369">
        <v>1005438</v>
      </c>
      <c r="AJ12" s="370">
        <v>28.48286461</v>
      </c>
      <c r="AK12" s="369">
        <v>887067</v>
      </c>
      <c r="AL12" s="370">
        <v>25.394770102999999</v>
      </c>
      <c r="AM12" s="369">
        <v>854386</v>
      </c>
      <c r="AN12" s="370">
        <v>24.917029365000001</v>
      </c>
      <c r="AO12" s="369">
        <v>860133</v>
      </c>
      <c r="AP12" s="370">
        <v>25.711661993</v>
      </c>
      <c r="AQ12" s="369">
        <v>844710</v>
      </c>
      <c r="AR12" s="370">
        <v>25.887510948999999</v>
      </c>
      <c r="AS12" s="271" t="s">
        <v>28</v>
      </c>
      <c r="AT12" s="456"/>
      <c r="AV12" s="268"/>
      <c r="AW12" s="269"/>
    </row>
    <row r="13" spans="1:49" s="36" customFormat="1" ht="11.85" customHeight="1">
      <c r="A13" s="447"/>
      <c r="B13" s="270" t="s">
        <v>29</v>
      </c>
      <c r="C13" s="369">
        <v>1179752</v>
      </c>
      <c r="D13" s="370">
        <v>26.565306972999998</v>
      </c>
      <c r="E13" s="369">
        <v>1211685</v>
      </c>
      <c r="F13" s="370">
        <v>28.290507911999999</v>
      </c>
      <c r="G13" s="369">
        <v>1127873</v>
      </c>
      <c r="H13" s="370">
        <v>27.288414158999998</v>
      </c>
      <c r="I13" s="369">
        <v>1065413</v>
      </c>
      <c r="J13" s="370">
        <v>26.702702594000002</v>
      </c>
      <c r="K13" s="369">
        <v>1012287</v>
      </c>
      <c r="L13" s="370">
        <v>26.031508224</v>
      </c>
      <c r="M13" s="369">
        <v>1016329</v>
      </c>
      <c r="N13" s="370">
        <v>26.105650506</v>
      </c>
      <c r="O13" s="369">
        <v>1029945</v>
      </c>
      <c r="P13" s="370">
        <v>26.059178748000001</v>
      </c>
      <c r="Q13" s="369">
        <v>990866</v>
      </c>
      <c r="R13" s="370">
        <v>24.708889420999999</v>
      </c>
      <c r="S13" s="369">
        <v>993697</v>
      </c>
      <c r="T13" s="370">
        <v>24.584083161999999</v>
      </c>
      <c r="U13" s="369">
        <v>1007542</v>
      </c>
      <c r="V13" s="370">
        <v>25.366266060000001</v>
      </c>
      <c r="W13" s="369">
        <v>967038</v>
      </c>
      <c r="X13" s="370">
        <v>25.471755514000002</v>
      </c>
      <c r="Y13" s="369">
        <v>885522</v>
      </c>
      <c r="Z13" s="370">
        <v>24.614584925999999</v>
      </c>
      <c r="AA13" s="369">
        <v>821308</v>
      </c>
      <c r="AB13" s="370">
        <v>24.230619676</v>
      </c>
      <c r="AC13" s="369">
        <v>803519</v>
      </c>
      <c r="AD13" s="370">
        <v>24.898772692000001</v>
      </c>
      <c r="AE13" s="369">
        <v>775276</v>
      </c>
      <c r="AF13" s="370">
        <v>24.602821748</v>
      </c>
      <c r="AG13" s="369">
        <v>846573</v>
      </c>
      <c r="AH13" s="370">
        <v>27.042058354000002</v>
      </c>
      <c r="AI13" s="369">
        <v>808172</v>
      </c>
      <c r="AJ13" s="370">
        <v>25.554813528</v>
      </c>
      <c r="AK13" s="369">
        <v>722268</v>
      </c>
      <c r="AL13" s="370">
        <v>22.209942610999999</v>
      </c>
      <c r="AM13" s="369">
        <v>777528</v>
      </c>
      <c r="AN13" s="370">
        <v>23.24251095</v>
      </c>
      <c r="AO13" s="369">
        <v>826003</v>
      </c>
      <c r="AP13" s="370">
        <v>24.108935802000001</v>
      </c>
      <c r="AQ13" s="369">
        <v>817812</v>
      </c>
      <c r="AR13" s="370">
        <v>23.377131223999999</v>
      </c>
      <c r="AS13" s="271" t="s">
        <v>29</v>
      </c>
      <c r="AT13" s="456"/>
      <c r="AV13" s="268"/>
      <c r="AW13" s="269"/>
    </row>
    <row r="14" spans="1:49" s="36" customFormat="1" ht="11.85" customHeight="1">
      <c r="A14" s="447"/>
      <c r="B14" s="270" t="s">
        <v>30</v>
      </c>
      <c r="C14" s="369">
        <v>879731</v>
      </c>
      <c r="D14" s="370">
        <v>19.911092420999999</v>
      </c>
      <c r="E14" s="369">
        <v>968801</v>
      </c>
      <c r="F14" s="370">
        <v>21.497262364000001</v>
      </c>
      <c r="G14" s="369">
        <v>947774</v>
      </c>
      <c r="H14" s="370">
        <v>20.687923992999998</v>
      </c>
      <c r="I14" s="369">
        <v>930318</v>
      </c>
      <c r="J14" s="370">
        <v>20.308438677000002</v>
      </c>
      <c r="K14" s="369">
        <v>899414</v>
      </c>
      <c r="L14" s="370">
        <v>19.84491027</v>
      </c>
      <c r="M14" s="369">
        <v>865771</v>
      </c>
      <c r="N14" s="370">
        <v>19.536122277</v>
      </c>
      <c r="O14" s="369">
        <v>822214</v>
      </c>
      <c r="P14" s="370">
        <v>19.238201709999998</v>
      </c>
      <c r="Q14" s="369">
        <v>738788</v>
      </c>
      <c r="R14" s="370">
        <v>17.918882511</v>
      </c>
      <c r="S14" s="369">
        <v>720702</v>
      </c>
      <c r="T14" s="370">
        <v>18.122665992999998</v>
      </c>
      <c r="U14" s="369">
        <v>732542</v>
      </c>
      <c r="V14" s="370">
        <v>18.903612073000001</v>
      </c>
      <c r="W14" s="369">
        <v>748472</v>
      </c>
      <c r="X14" s="370">
        <v>19.283577351999998</v>
      </c>
      <c r="Y14" s="369">
        <v>729964</v>
      </c>
      <c r="Z14" s="370">
        <v>18.521561428999998</v>
      </c>
      <c r="AA14" s="369">
        <v>729543</v>
      </c>
      <c r="AB14" s="370">
        <v>18.242684165</v>
      </c>
      <c r="AC14" s="369">
        <v>757182</v>
      </c>
      <c r="AD14" s="370">
        <v>18.782110433</v>
      </c>
      <c r="AE14" s="369">
        <v>720238</v>
      </c>
      <c r="AF14" s="370">
        <v>18.186354086000001</v>
      </c>
      <c r="AG14" s="369">
        <v>760067</v>
      </c>
      <c r="AH14" s="370">
        <v>20.073404081</v>
      </c>
      <c r="AI14" s="369">
        <v>661979</v>
      </c>
      <c r="AJ14" s="370">
        <v>18.436003593999999</v>
      </c>
      <c r="AK14" s="369">
        <v>532993</v>
      </c>
      <c r="AL14" s="370">
        <v>15.750979943000001</v>
      </c>
      <c r="AM14" s="369">
        <v>541608</v>
      </c>
      <c r="AN14" s="370">
        <v>16.812991755999999</v>
      </c>
      <c r="AO14" s="369">
        <v>551073</v>
      </c>
      <c r="AP14" s="370">
        <v>17.519787425000001</v>
      </c>
      <c r="AQ14" s="369">
        <v>530308</v>
      </c>
      <c r="AR14" s="370">
        <v>16.973712426999999</v>
      </c>
      <c r="AS14" s="271" t="s">
        <v>30</v>
      </c>
      <c r="AT14" s="456"/>
      <c r="AV14" s="268"/>
      <c r="AW14" s="269"/>
    </row>
    <row r="15" spans="1:49" s="36" customFormat="1" ht="11.85" customHeight="1">
      <c r="A15" s="447"/>
      <c r="B15" s="270" t="s">
        <v>31</v>
      </c>
      <c r="C15" s="369">
        <v>708066</v>
      </c>
      <c r="D15" s="370">
        <v>16.320664714999999</v>
      </c>
      <c r="E15" s="369">
        <v>739656</v>
      </c>
      <c r="F15" s="370">
        <v>17.45375671</v>
      </c>
      <c r="G15" s="369">
        <v>716960</v>
      </c>
      <c r="H15" s="370">
        <v>17.198069487000001</v>
      </c>
      <c r="I15" s="369">
        <v>708452</v>
      </c>
      <c r="J15" s="370">
        <v>16.777970842999999</v>
      </c>
      <c r="K15" s="369">
        <v>716999</v>
      </c>
      <c r="L15" s="370">
        <v>16.552407951999999</v>
      </c>
      <c r="M15" s="369">
        <v>705022</v>
      </c>
      <c r="N15" s="370">
        <v>16.010295321000001</v>
      </c>
      <c r="O15" s="369">
        <v>705164</v>
      </c>
      <c r="P15" s="370">
        <v>15.694833416</v>
      </c>
      <c r="Q15" s="369">
        <v>659651</v>
      </c>
      <c r="R15" s="370">
        <v>14.447496084999999</v>
      </c>
      <c r="S15" s="369">
        <v>654721</v>
      </c>
      <c r="T15" s="370">
        <v>14.355983646</v>
      </c>
      <c r="U15" s="369">
        <v>666813</v>
      </c>
      <c r="V15" s="370">
        <v>14.78719757</v>
      </c>
      <c r="W15" s="369">
        <v>663890</v>
      </c>
      <c r="X15" s="370">
        <v>15.052843327</v>
      </c>
      <c r="Y15" s="369">
        <v>598840</v>
      </c>
      <c r="Z15" s="370">
        <v>14.076415634</v>
      </c>
      <c r="AA15" s="369">
        <v>562891</v>
      </c>
      <c r="AB15" s="370">
        <v>13.713345328000001</v>
      </c>
      <c r="AC15" s="369">
        <v>556042</v>
      </c>
      <c r="AD15" s="370">
        <v>14.041907889000001</v>
      </c>
      <c r="AE15" s="369">
        <v>528184</v>
      </c>
      <c r="AF15" s="370">
        <v>13.693708454999999</v>
      </c>
      <c r="AG15" s="369">
        <v>588059</v>
      </c>
      <c r="AH15" s="370">
        <v>15.219883248</v>
      </c>
      <c r="AI15" s="369">
        <v>545260</v>
      </c>
      <c r="AJ15" s="370">
        <v>13.892399257999999</v>
      </c>
      <c r="AK15" s="369">
        <v>469084</v>
      </c>
      <c r="AL15" s="370">
        <v>11.779240808999999</v>
      </c>
      <c r="AM15" s="369">
        <v>486928</v>
      </c>
      <c r="AN15" s="370">
        <v>12.132958012</v>
      </c>
      <c r="AO15" s="369">
        <v>494893</v>
      </c>
      <c r="AP15" s="370">
        <v>12.553630813</v>
      </c>
      <c r="AQ15" s="369">
        <v>460267</v>
      </c>
      <c r="AR15" s="370">
        <v>12.212269395</v>
      </c>
      <c r="AS15" s="271" t="s">
        <v>31</v>
      </c>
      <c r="AT15" s="456"/>
      <c r="AV15" s="268"/>
      <c r="AW15" s="269"/>
    </row>
    <row r="16" spans="1:49" s="36" customFormat="1" ht="11.85" customHeight="1">
      <c r="A16" s="447"/>
      <c r="B16" s="270" t="s">
        <v>32</v>
      </c>
      <c r="C16" s="369">
        <v>566334</v>
      </c>
      <c r="D16" s="370">
        <v>14.206004041</v>
      </c>
      <c r="E16" s="369">
        <v>642658</v>
      </c>
      <c r="F16" s="370">
        <v>15.373971722</v>
      </c>
      <c r="G16" s="369">
        <v>640801</v>
      </c>
      <c r="H16" s="370">
        <v>14.800555436</v>
      </c>
      <c r="I16" s="369">
        <v>645574</v>
      </c>
      <c r="J16" s="370">
        <v>14.737611552000001</v>
      </c>
      <c r="K16" s="369">
        <v>625022</v>
      </c>
      <c r="L16" s="370">
        <v>14.305895515</v>
      </c>
      <c r="M16" s="369">
        <v>602308</v>
      </c>
      <c r="N16" s="370">
        <v>13.967906477</v>
      </c>
      <c r="O16" s="369">
        <v>576422</v>
      </c>
      <c r="P16" s="370">
        <v>13.672002118</v>
      </c>
      <c r="Q16" s="369">
        <v>527456</v>
      </c>
      <c r="R16" s="370">
        <v>12.717232673</v>
      </c>
      <c r="S16" s="369">
        <v>521701</v>
      </c>
      <c r="T16" s="370">
        <v>12.433474367000001</v>
      </c>
      <c r="U16" s="369">
        <v>559029</v>
      </c>
      <c r="V16" s="370">
        <v>12.996171093999999</v>
      </c>
      <c r="W16" s="369">
        <v>580947</v>
      </c>
      <c r="X16" s="370">
        <v>13.285110766000001</v>
      </c>
      <c r="Y16" s="369">
        <v>558818</v>
      </c>
      <c r="Z16" s="370">
        <v>12.523879319000001</v>
      </c>
      <c r="AA16" s="369">
        <v>548278</v>
      </c>
      <c r="AB16" s="370">
        <v>12.087795797</v>
      </c>
      <c r="AC16" s="369">
        <v>554187</v>
      </c>
      <c r="AD16" s="370">
        <v>12.229421563000001</v>
      </c>
      <c r="AE16" s="369">
        <v>534216</v>
      </c>
      <c r="AF16" s="370">
        <v>11.927845616999999</v>
      </c>
      <c r="AG16" s="369">
        <v>566053</v>
      </c>
      <c r="AH16" s="370">
        <v>12.921348314999999</v>
      </c>
      <c r="AI16" s="369">
        <v>494802</v>
      </c>
      <c r="AJ16" s="370">
        <v>11.704012677</v>
      </c>
      <c r="AK16" s="369">
        <v>401090</v>
      </c>
      <c r="AL16" s="370">
        <v>9.8343902320000005</v>
      </c>
      <c r="AM16" s="369">
        <v>388233</v>
      </c>
      <c r="AN16" s="370">
        <v>9.8717217519999991</v>
      </c>
      <c r="AO16" s="369">
        <v>390873</v>
      </c>
      <c r="AP16" s="370">
        <v>10.205310888</v>
      </c>
      <c r="AQ16" s="369">
        <v>387184</v>
      </c>
      <c r="AR16" s="370">
        <v>10.094420100000001</v>
      </c>
      <c r="AS16" s="271" t="s">
        <v>32</v>
      </c>
      <c r="AT16" s="456"/>
      <c r="AV16" s="268"/>
      <c r="AW16" s="269"/>
    </row>
    <row r="17" spans="1:49" s="36" customFormat="1" ht="11.85" customHeight="1">
      <c r="A17" s="447"/>
      <c r="B17" s="270" t="s">
        <v>33</v>
      </c>
      <c r="C17" s="369">
        <v>356797</v>
      </c>
      <c r="D17" s="370">
        <v>12.609432274</v>
      </c>
      <c r="E17" s="369">
        <v>418233</v>
      </c>
      <c r="F17" s="370">
        <v>13.560695373</v>
      </c>
      <c r="G17" s="369">
        <v>432349</v>
      </c>
      <c r="H17" s="370">
        <v>13.105436336</v>
      </c>
      <c r="I17" s="369">
        <v>459667</v>
      </c>
      <c r="J17" s="370">
        <v>13.112961567999999</v>
      </c>
      <c r="K17" s="369">
        <v>479764</v>
      </c>
      <c r="L17" s="370">
        <v>12.83175024</v>
      </c>
      <c r="M17" s="369">
        <v>495162</v>
      </c>
      <c r="N17" s="370">
        <v>12.550387896</v>
      </c>
      <c r="O17" s="369">
        <v>519775</v>
      </c>
      <c r="P17" s="370">
        <v>12.553062667000001</v>
      </c>
      <c r="Q17" s="369">
        <v>488747</v>
      </c>
      <c r="R17" s="370">
        <v>11.394539307000001</v>
      </c>
      <c r="S17" s="369">
        <v>489732</v>
      </c>
      <c r="T17" s="370">
        <v>11.293346078000001</v>
      </c>
      <c r="U17" s="369">
        <v>510132</v>
      </c>
      <c r="V17" s="370">
        <v>11.80264968</v>
      </c>
      <c r="W17" s="369">
        <v>523217</v>
      </c>
      <c r="X17" s="370">
        <v>12.264121975</v>
      </c>
      <c r="Y17" s="369">
        <v>481855</v>
      </c>
      <c r="Z17" s="370">
        <v>11.549293412000001</v>
      </c>
      <c r="AA17" s="369">
        <v>459858</v>
      </c>
      <c r="AB17" s="370">
        <v>11.200548314000001</v>
      </c>
      <c r="AC17" s="369">
        <v>467739</v>
      </c>
      <c r="AD17" s="370">
        <v>11.25702332</v>
      </c>
      <c r="AE17" s="369">
        <v>467459</v>
      </c>
      <c r="AF17" s="370">
        <v>10.976166128999999</v>
      </c>
      <c r="AG17" s="369">
        <v>519685</v>
      </c>
      <c r="AH17" s="370">
        <v>11.99837739</v>
      </c>
      <c r="AI17" s="369">
        <v>489341</v>
      </c>
      <c r="AJ17" s="370">
        <v>11.063996909</v>
      </c>
      <c r="AK17" s="369">
        <v>417460</v>
      </c>
      <c r="AL17" s="370">
        <v>9.2869166950000004</v>
      </c>
      <c r="AM17" s="369">
        <v>408201</v>
      </c>
      <c r="AN17" s="370">
        <v>9.0948689199999997</v>
      </c>
      <c r="AO17" s="369">
        <v>414615</v>
      </c>
      <c r="AP17" s="370">
        <v>9.3496858970000005</v>
      </c>
      <c r="AQ17" s="369">
        <v>398718</v>
      </c>
      <c r="AR17" s="370">
        <v>9.1959775700000002</v>
      </c>
      <c r="AS17" s="271" t="s">
        <v>33</v>
      </c>
      <c r="AT17" s="456"/>
      <c r="AV17" s="268"/>
      <c r="AW17" s="269"/>
    </row>
    <row r="18" spans="1:49" s="36" customFormat="1" ht="11.85" customHeight="1">
      <c r="A18" s="447"/>
      <c r="B18" s="270" t="s">
        <v>34</v>
      </c>
      <c r="C18" s="369">
        <v>257419</v>
      </c>
      <c r="D18" s="370">
        <v>11.440996991</v>
      </c>
      <c r="E18" s="369">
        <v>290372</v>
      </c>
      <c r="F18" s="370">
        <v>12.477252815</v>
      </c>
      <c r="G18" s="369">
        <v>291280</v>
      </c>
      <c r="H18" s="370">
        <v>12.123003032</v>
      </c>
      <c r="I18" s="369">
        <v>303954</v>
      </c>
      <c r="J18" s="370">
        <v>12.22559639</v>
      </c>
      <c r="K18" s="369">
        <v>304348</v>
      </c>
      <c r="L18" s="370">
        <v>11.77159513</v>
      </c>
      <c r="M18" s="369">
        <v>320704</v>
      </c>
      <c r="N18" s="370">
        <v>11.530623544999999</v>
      </c>
      <c r="O18" s="369">
        <v>348505</v>
      </c>
      <c r="P18" s="370">
        <v>11.482526053999999</v>
      </c>
      <c r="Q18" s="369">
        <v>338582</v>
      </c>
      <c r="R18" s="370">
        <v>10.42432266</v>
      </c>
      <c r="S18" s="369">
        <v>354070</v>
      </c>
      <c r="T18" s="370">
        <v>10.263320983</v>
      </c>
      <c r="U18" s="369">
        <v>397980</v>
      </c>
      <c r="V18" s="370">
        <v>10.819372108</v>
      </c>
      <c r="W18" s="369">
        <v>437642</v>
      </c>
      <c r="X18" s="370">
        <v>11.272045152</v>
      </c>
      <c r="Y18" s="369">
        <v>442641</v>
      </c>
      <c r="Z18" s="370">
        <v>10.86031702</v>
      </c>
      <c r="AA18" s="369">
        <v>432716</v>
      </c>
      <c r="AB18" s="370">
        <v>10.243913063000001</v>
      </c>
      <c r="AC18" s="369">
        <v>447293</v>
      </c>
      <c r="AD18" s="370">
        <v>10.467634191</v>
      </c>
      <c r="AE18" s="369">
        <v>420864</v>
      </c>
      <c r="AF18" s="370">
        <v>9.8796870909999992</v>
      </c>
      <c r="AG18" s="369">
        <v>460420</v>
      </c>
      <c r="AH18" s="370">
        <v>10.942619103</v>
      </c>
      <c r="AI18" s="369">
        <v>419754</v>
      </c>
      <c r="AJ18" s="370">
        <v>10.191273634</v>
      </c>
      <c r="AK18" s="369">
        <v>345647</v>
      </c>
      <c r="AL18" s="370">
        <v>8.5273224540000001</v>
      </c>
      <c r="AM18" s="369">
        <v>334987</v>
      </c>
      <c r="AN18" s="370">
        <v>8.170283113</v>
      </c>
      <c r="AO18" s="369">
        <v>356767</v>
      </c>
      <c r="AP18" s="370">
        <v>8.4914399419999995</v>
      </c>
      <c r="AQ18" s="369">
        <v>357253</v>
      </c>
      <c r="AR18" s="370">
        <v>8.3630436400000008</v>
      </c>
      <c r="AS18" s="271" t="s">
        <v>34</v>
      </c>
      <c r="AT18" s="456"/>
      <c r="AV18" s="268"/>
      <c r="AW18" s="269"/>
    </row>
    <row r="19" spans="1:49" s="36" customFormat="1" ht="11.85" customHeight="1">
      <c r="A19" s="447"/>
      <c r="B19" s="270" t="s">
        <v>35</v>
      </c>
      <c r="C19" s="369">
        <v>218542</v>
      </c>
      <c r="D19" s="370">
        <v>10.93856909</v>
      </c>
      <c r="E19" s="369">
        <v>234637</v>
      </c>
      <c r="F19" s="370">
        <v>11.890703858</v>
      </c>
      <c r="G19" s="369">
        <v>228956</v>
      </c>
      <c r="H19" s="370">
        <v>11.689008535999999</v>
      </c>
      <c r="I19" s="369">
        <v>231608</v>
      </c>
      <c r="J19" s="370">
        <v>11.588262636</v>
      </c>
      <c r="K19" s="369">
        <v>233643</v>
      </c>
      <c r="L19" s="370">
        <v>11.194066319999999</v>
      </c>
      <c r="M19" s="369">
        <v>230070</v>
      </c>
      <c r="N19" s="370">
        <v>10.512838438999999</v>
      </c>
      <c r="O19" s="369">
        <v>236905</v>
      </c>
      <c r="P19" s="370">
        <v>10.458933988</v>
      </c>
      <c r="Q19" s="369">
        <v>224743</v>
      </c>
      <c r="R19" s="370">
        <v>9.6018617299999995</v>
      </c>
      <c r="S19" s="369">
        <v>228931</v>
      </c>
      <c r="T19" s="370">
        <v>9.4476533039999993</v>
      </c>
      <c r="U19" s="369">
        <v>250378</v>
      </c>
      <c r="V19" s="370">
        <v>9.9310516609999997</v>
      </c>
      <c r="W19" s="369">
        <v>285651</v>
      </c>
      <c r="X19" s="370">
        <v>10.520676842</v>
      </c>
      <c r="Y19" s="369">
        <v>299397</v>
      </c>
      <c r="Z19" s="370">
        <v>10.096232152000001</v>
      </c>
      <c r="AA19" s="369">
        <v>305552</v>
      </c>
      <c r="AB19" s="370">
        <v>9.620639766</v>
      </c>
      <c r="AC19" s="369">
        <v>328580</v>
      </c>
      <c r="AD19" s="370">
        <v>9.7324566679999993</v>
      </c>
      <c r="AE19" s="369">
        <v>333844</v>
      </c>
      <c r="AF19" s="370">
        <v>9.2697030890000001</v>
      </c>
      <c r="AG19" s="369">
        <v>390467</v>
      </c>
      <c r="AH19" s="370">
        <v>10.262726988000001</v>
      </c>
      <c r="AI19" s="369">
        <v>388617</v>
      </c>
      <c r="AJ19" s="370">
        <v>9.7207422460000004</v>
      </c>
      <c r="AK19" s="369">
        <v>327477</v>
      </c>
      <c r="AL19" s="370">
        <v>7.9035587100000004</v>
      </c>
      <c r="AM19" s="369">
        <v>316424</v>
      </c>
      <c r="AN19" s="370">
        <v>7.5515538219999998</v>
      </c>
      <c r="AO19" s="369">
        <v>319505</v>
      </c>
      <c r="AP19" s="370">
        <v>7.6484195069999998</v>
      </c>
      <c r="AQ19" s="369">
        <v>313769</v>
      </c>
      <c r="AR19" s="370">
        <v>7.605547702</v>
      </c>
      <c r="AS19" s="271" t="s">
        <v>35</v>
      </c>
      <c r="AT19" s="456"/>
      <c r="AV19" s="268"/>
      <c r="AW19" s="269"/>
    </row>
    <row r="20" spans="1:49" s="36" customFormat="1" ht="11.85" customHeight="1">
      <c r="A20" s="447"/>
      <c r="B20" s="270" t="s">
        <v>37</v>
      </c>
      <c r="C20" s="369">
        <v>175134</v>
      </c>
      <c r="D20" s="370">
        <v>10.444032700999999</v>
      </c>
      <c r="E20" s="369">
        <v>197798</v>
      </c>
      <c r="F20" s="370">
        <v>11.441915782000001</v>
      </c>
      <c r="G20" s="369">
        <v>205522</v>
      </c>
      <c r="H20" s="370">
        <v>11.226600097</v>
      </c>
      <c r="I20" s="369">
        <v>207149</v>
      </c>
      <c r="J20" s="370">
        <v>10.839215177</v>
      </c>
      <c r="K20" s="369">
        <v>195044</v>
      </c>
      <c r="L20" s="370">
        <v>10.164147828999999</v>
      </c>
      <c r="M20" s="369">
        <v>176414</v>
      </c>
      <c r="N20" s="370">
        <v>9.2641858399999997</v>
      </c>
      <c r="O20" s="369">
        <v>172164</v>
      </c>
      <c r="P20" s="370">
        <v>9.1312324280000006</v>
      </c>
      <c r="Q20" s="369">
        <v>158112</v>
      </c>
      <c r="R20" s="370">
        <v>8.4231342120000008</v>
      </c>
      <c r="S20" s="369">
        <v>161429</v>
      </c>
      <c r="T20" s="370">
        <v>8.406740224</v>
      </c>
      <c r="U20" s="369">
        <v>176546</v>
      </c>
      <c r="V20" s="370">
        <v>8.7887087800000003</v>
      </c>
      <c r="W20" s="369">
        <v>189465</v>
      </c>
      <c r="X20" s="370">
        <v>8.9816016179999991</v>
      </c>
      <c r="Y20" s="369">
        <v>189389</v>
      </c>
      <c r="Z20" s="370">
        <v>8.6643935419999991</v>
      </c>
      <c r="AA20" s="369">
        <v>187660</v>
      </c>
      <c r="AB20" s="370">
        <v>8.2958423089999993</v>
      </c>
      <c r="AC20" s="369">
        <v>197249</v>
      </c>
      <c r="AD20" s="370">
        <v>8.4083696210000003</v>
      </c>
      <c r="AE20" s="369">
        <v>192726</v>
      </c>
      <c r="AF20" s="370">
        <v>7.886195496</v>
      </c>
      <c r="AG20" s="369">
        <v>233689</v>
      </c>
      <c r="AH20" s="370">
        <v>8.8666606970000004</v>
      </c>
      <c r="AI20" s="369">
        <v>240785</v>
      </c>
      <c r="AJ20" s="370">
        <v>8.3551652230000002</v>
      </c>
      <c r="AK20" s="369">
        <v>207874</v>
      </c>
      <c r="AL20" s="370">
        <v>6.7328352770000004</v>
      </c>
      <c r="AM20" s="369">
        <v>209245</v>
      </c>
      <c r="AN20" s="370">
        <v>6.375008759</v>
      </c>
      <c r="AO20" s="369">
        <v>225095</v>
      </c>
      <c r="AP20" s="370">
        <v>6.4272787649999996</v>
      </c>
      <c r="AQ20" s="369">
        <v>234817</v>
      </c>
      <c r="AR20" s="370">
        <v>6.3463402269999998</v>
      </c>
      <c r="AS20" s="271" t="s">
        <v>37</v>
      </c>
      <c r="AT20" s="456"/>
      <c r="AV20" s="268"/>
      <c r="AW20" s="269"/>
    </row>
    <row r="21" spans="1:49" s="36" customFormat="1" ht="11.85" customHeight="1">
      <c r="A21" s="447"/>
      <c r="B21" s="270" t="s">
        <v>38</v>
      </c>
      <c r="C21" s="369">
        <v>124381</v>
      </c>
      <c r="D21" s="370">
        <v>10.698410131999999</v>
      </c>
      <c r="E21" s="369">
        <v>146514</v>
      </c>
      <c r="F21" s="370">
        <v>11.724008796</v>
      </c>
      <c r="G21" s="369">
        <v>155677</v>
      </c>
      <c r="H21" s="370">
        <v>11.721288764000001</v>
      </c>
      <c r="I21" s="369">
        <v>142130</v>
      </c>
      <c r="J21" s="370">
        <v>10.139316622000001</v>
      </c>
      <c r="K21" s="369">
        <v>146776</v>
      </c>
      <c r="L21" s="370">
        <v>9.9209640320000005</v>
      </c>
      <c r="M21" s="369">
        <v>134740</v>
      </c>
      <c r="N21" s="370">
        <v>8.7661201230000003</v>
      </c>
      <c r="O21" s="369">
        <v>137171</v>
      </c>
      <c r="P21" s="370">
        <v>8.6215977709999994</v>
      </c>
      <c r="Q21" s="369">
        <v>129478</v>
      </c>
      <c r="R21" s="370">
        <v>7.6512742569999999</v>
      </c>
      <c r="S21" s="369">
        <v>134378</v>
      </c>
      <c r="T21" s="370">
        <v>7.5820650289999998</v>
      </c>
      <c r="U21" s="369">
        <v>138799</v>
      </c>
      <c r="V21" s="370">
        <v>7.7754753689999996</v>
      </c>
      <c r="W21" s="369">
        <v>140640</v>
      </c>
      <c r="X21" s="370">
        <v>7.9129129469999997</v>
      </c>
      <c r="Y21" s="369">
        <v>132844</v>
      </c>
      <c r="Z21" s="370">
        <v>7.5243298599999999</v>
      </c>
      <c r="AA21" s="369">
        <v>128498</v>
      </c>
      <c r="AB21" s="370">
        <v>7.2771157479999999</v>
      </c>
      <c r="AC21" s="369">
        <v>133157</v>
      </c>
      <c r="AD21" s="370">
        <v>7.3398505649999999</v>
      </c>
      <c r="AE21" s="369">
        <v>130302</v>
      </c>
      <c r="AF21" s="370">
        <v>6.8499531080000002</v>
      </c>
      <c r="AG21" s="369">
        <v>150327</v>
      </c>
      <c r="AH21" s="370">
        <v>7.5136863979999999</v>
      </c>
      <c r="AI21" s="369">
        <v>147399</v>
      </c>
      <c r="AJ21" s="370">
        <v>7.1030972889999999</v>
      </c>
      <c r="AK21" s="369">
        <v>121726</v>
      </c>
      <c r="AL21" s="370">
        <v>5.6661177089999999</v>
      </c>
      <c r="AM21" s="369">
        <v>117803</v>
      </c>
      <c r="AN21" s="370">
        <v>5.2849279759999996</v>
      </c>
      <c r="AO21" s="369">
        <v>123166</v>
      </c>
      <c r="AP21" s="370">
        <v>5.2985289079999998</v>
      </c>
      <c r="AQ21" s="369">
        <v>134560</v>
      </c>
      <c r="AR21" s="370">
        <v>5.3605012800000003</v>
      </c>
      <c r="AS21" s="271" t="s">
        <v>38</v>
      </c>
      <c r="AT21" s="456"/>
      <c r="AV21" s="268"/>
      <c r="AW21" s="269"/>
    </row>
    <row r="22" spans="1:49" s="36" customFormat="1" ht="11.85" customHeight="1">
      <c r="A22" s="447"/>
      <c r="B22" s="270" t="s">
        <v>39</v>
      </c>
      <c r="C22" s="369">
        <v>82545</v>
      </c>
      <c r="D22" s="370">
        <v>11.351408216999999</v>
      </c>
      <c r="E22" s="369">
        <v>95091</v>
      </c>
      <c r="F22" s="370">
        <v>12.348430101</v>
      </c>
      <c r="G22" s="369">
        <v>103549</v>
      </c>
      <c r="H22" s="370">
        <v>12.673722243</v>
      </c>
      <c r="I22" s="369">
        <v>93059</v>
      </c>
      <c r="J22" s="370">
        <v>10.726582176000001</v>
      </c>
      <c r="K22" s="369">
        <v>96827</v>
      </c>
      <c r="L22" s="370">
        <v>10.458885251</v>
      </c>
      <c r="M22" s="369">
        <v>92434</v>
      </c>
      <c r="N22" s="370">
        <v>9.2472052250000001</v>
      </c>
      <c r="O22" s="369">
        <v>97228</v>
      </c>
      <c r="P22" s="370">
        <v>8.9990596279999995</v>
      </c>
      <c r="Q22" s="369">
        <v>90839</v>
      </c>
      <c r="R22" s="370">
        <v>7.8768103250000001</v>
      </c>
      <c r="S22" s="369">
        <v>94864</v>
      </c>
      <c r="T22" s="370">
        <v>7.7614871059999997</v>
      </c>
      <c r="U22" s="369">
        <v>100456</v>
      </c>
      <c r="V22" s="370">
        <v>7.7492374650000002</v>
      </c>
      <c r="W22" s="369">
        <v>103171</v>
      </c>
      <c r="X22" s="370">
        <v>7.621847163</v>
      </c>
      <c r="Y22" s="369">
        <v>101128</v>
      </c>
      <c r="Z22" s="370">
        <v>7.181809983</v>
      </c>
      <c r="AA22" s="369">
        <v>101907</v>
      </c>
      <c r="AB22" s="370">
        <v>6.7647835880000002</v>
      </c>
      <c r="AC22" s="369">
        <v>108355</v>
      </c>
      <c r="AD22" s="370">
        <v>6.8347424810000001</v>
      </c>
      <c r="AE22" s="369">
        <v>100868</v>
      </c>
      <c r="AF22" s="370">
        <v>6.2914861469999996</v>
      </c>
      <c r="AG22" s="369">
        <v>109369</v>
      </c>
      <c r="AH22" s="370">
        <v>6.8242044650000002</v>
      </c>
      <c r="AI22" s="369">
        <v>101861</v>
      </c>
      <c r="AJ22" s="370">
        <v>6.3744000200000004</v>
      </c>
      <c r="AK22" s="369">
        <v>81214</v>
      </c>
      <c r="AL22" s="370">
        <v>5.062399525</v>
      </c>
      <c r="AM22" s="369">
        <v>78118</v>
      </c>
      <c r="AN22" s="370">
        <v>4.7243942099999998</v>
      </c>
      <c r="AO22" s="369">
        <v>80880</v>
      </c>
      <c r="AP22" s="370">
        <v>4.6537346389999996</v>
      </c>
      <c r="AQ22" s="369">
        <v>84238</v>
      </c>
      <c r="AR22" s="370">
        <v>4.6022891799999996</v>
      </c>
      <c r="AS22" s="271" t="s">
        <v>39</v>
      </c>
      <c r="AT22" s="456"/>
      <c r="AV22" s="268"/>
      <c r="AW22" s="269"/>
    </row>
    <row r="23" spans="1:49" s="36" customFormat="1" ht="20.100000000000001" customHeight="1">
      <c r="A23" s="448"/>
      <c r="B23" s="270" t="s">
        <v>165</v>
      </c>
      <c r="C23" s="371">
        <v>79338</v>
      </c>
      <c r="D23" s="372">
        <v>12.056283322000001</v>
      </c>
      <c r="E23" s="373">
        <v>92586</v>
      </c>
      <c r="F23" s="372">
        <v>13.376435277000001</v>
      </c>
      <c r="G23" s="373">
        <v>105994</v>
      </c>
      <c r="H23" s="372">
        <v>14.4555375</v>
      </c>
      <c r="I23" s="373">
        <v>95862</v>
      </c>
      <c r="J23" s="372">
        <v>12.2126143</v>
      </c>
      <c r="K23" s="373">
        <v>102329</v>
      </c>
      <c r="L23" s="372">
        <v>12.119830323</v>
      </c>
      <c r="M23" s="373">
        <v>100668</v>
      </c>
      <c r="N23" s="372">
        <v>11.095557940999999</v>
      </c>
      <c r="O23" s="373">
        <v>105146</v>
      </c>
      <c r="P23" s="372">
        <v>10.853780645000001</v>
      </c>
      <c r="Q23" s="373">
        <v>101651</v>
      </c>
      <c r="R23" s="372">
        <v>9.8006056739999998</v>
      </c>
      <c r="S23" s="373">
        <v>107772</v>
      </c>
      <c r="T23" s="372">
        <v>9.6589972110000009</v>
      </c>
      <c r="U23" s="373">
        <v>114863</v>
      </c>
      <c r="V23" s="372">
        <v>9.5185414460000004</v>
      </c>
      <c r="W23" s="373">
        <v>121387</v>
      </c>
      <c r="X23" s="372">
        <v>9.2514938109999996</v>
      </c>
      <c r="Y23" s="373">
        <v>124562</v>
      </c>
      <c r="Z23" s="372">
        <v>8.7615443590000002</v>
      </c>
      <c r="AA23" s="373">
        <v>125241</v>
      </c>
      <c r="AB23" s="372">
        <v>8.1755923569999993</v>
      </c>
      <c r="AC23" s="373">
        <v>135741</v>
      </c>
      <c r="AD23" s="372">
        <v>8.256309881</v>
      </c>
      <c r="AE23" s="373">
        <v>135224</v>
      </c>
      <c r="AF23" s="372">
        <v>7.6428009059999997</v>
      </c>
      <c r="AG23" s="373">
        <v>149009</v>
      </c>
      <c r="AH23" s="372">
        <v>7.8603184449999999</v>
      </c>
      <c r="AI23" s="373">
        <v>150572</v>
      </c>
      <c r="AJ23" s="372">
        <v>7.4435426380000003</v>
      </c>
      <c r="AK23" s="373">
        <v>130144</v>
      </c>
      <c r="AL23" s="372">
        <v>5.9960212039999998</v>
      </c>
      <c r="AM23" s="373">
        <v>129517</v>
      </c>
      <c r="AN23" s="372">
        <v>5.6373971090000001</v>
      </c>
      <c r="AO23" s="373">
        <v>131722</v>
      </c>
      <c r="AP23" s="372">
        <v>5.5095273389999999</v>
      </c>
      <c r="AQ23" s="373">
        <v>136120</v>
      </c>
      <c r="AR23" s="374">
        <v>5.5151155169999999</v>
      </c>
      <c r="AS23" s="271" t="s">
        <v>165</v>
      </c>
      <c r="AT23" s="459"/>
      <c r="AV23" s="268"/>
      <c r="AW23" s="269"/>
    </row>
    <row r="24" spans="1:49" s="276" customFormat="1" ht="20.100000000000001" customHeight="1">
      <c r="A24" s="449" t="s">
        <v>137</v>
      </c>
      <c r="B24" s="277" t="s">
        <v>48</v>
      </c>
      <c r="C24" s="377">
        <v>4394364</v>
      </c>
      <c r="D24" s="378">
        <v>18.002562018999999</v>
      </c>
      <c r="E24" s="379">
        <v>4656686</v>
      </c>
      <c r="F24" s="378">
        <v>19.001748058</v>
      </c>
      <c r="G24" s="379">
        <v>4515566</v>
      </c>
      <c r="H24" s="378">
        <v>18.337973972</v>
      </c>
      <c r="I24" s="379">
        <v>4408493</v>
      </c>
      <c r="J24" s="378">
        <v>17.807004082999999</v>
      </c>
      <c r="K24" s="379">
        <v>4248697</v>
      </c>
      <c r="L24" s="378">
        <v>17.079215344000001</v>
      </c>
      <c r="M24" s="379">
        <v>4136960</v>
      </c>
      <c r="N24" s="378">
        <v>16.562969279000001</v>
      </c>
      <c r="O24" s="379">
        <v>4090513</v>
      </c>
      <c r="P24" s="378">
        <v>16.308697768999998</v>
      </c>
      <c r="Q24" s="379">
        <v>3788912</v>
      </c>
      <c r="R24" s="378">
        <v>15.042830382</v>
      </c>
      <c r="S24" s="379">
        <v>3747706</v>
      </c>
      <c r="T24" s="378">
        <v>14.823069543000001</v>
      </c>
      <c r="U24" s="379">
        <v>3869608</v>
      </c>
      <c r="V24" s="378">
        <v>15.249995606000001</v>
      </c>
      <c r="W24" s="379">
        <v>3939576</v>
      </c>
      <c r="X24" s="378">
        <v>15.474770307</v>
      </c>
      <c r="Y24" s="379">
        <v>3755734</v>
      </c>
      <c r="Z24" s="378">
        <v>14.712320659</v>
      </c>
      <c r="AA24" s="379">
        <v>3649815</v>
      </c>
      <c r="AB24" s="378">
        <v>14.270048832000001</v>
      </c>
      <c r="AC24" s="379">
        <v>3715518</v>
      </c>
      <c r="AD24" s="378">
        <v>14.512630497</v>
      </c>
      <c r="AE24" s="379">
        <v>3631378</v>
      </c>
      <c r="AF24" s="378">
        <v>14.179895758000001</v>
      </c>
      <c r="AG24" s="379">
        <v>3932208</v>
      </c>
      <c r="AH24" s="378">
        <v>15.356539722000001</v>
      </c>
      <c r="AI24" s="379">
        <v>3688955</v>
      </c>
      <c r="AJ24" s="378">
        <v>14.416117455</v>
      </c>
      <c r="AK24" s="379">
        <v>3160337</v>
      </c>
      <c r="AL24" s="378">
        <v>12.37404778</v>
      </c>
      <c r="AM24" s="379">
        <v>3149555</v>
      </c>
      <c r="AN24" s="378">
        <v>12.366141652</v>
      </c>
      <c r="AO24" s="379">
        <v>3213510</v>
      </c>
      <c r="AP24" s="378">
        <v>12.651363635999999</v>
      </c>
      <c r="AQ24" s="379">
        <v>3139371</v>
      </c>
      <c r="AR24" s="380">
        <v>12.389236679</v>
      </c>
      <c r="AS24" s="278" t="s">
        <v>48</v>
      </c>
      <c r="AT24" s="462" t="s">
        <v>137</v>
      </c>
    </row>
    <row r="25" spans="1:49" s="36" customFormat="1" ht="11.85" customHeight="1">
      <c r="A25" s="450"/>
      <c r="B25" s="266" t="s">
        <v>23</v>
      </c>
      <c r="C25" s="369">
        <v>312001</v>
      </c>
      <c r="D25" s="370">
        <v>23.664442316999999</v>
      </c>
      <c r="E25" s="369">
        <v>309450</v>
      </c>
      <c r="F25" s="370">
        <v>25.083063075999998</v>
      </c>
      <c r="G25" s="369">
        <v>285933</v>
      </c>
      <c r="H25" s="370">
        <v>23.803767703999998</v>
      </c>
      <c r="I25" s="369">
        <v>280541</v>
      </c>
      <c r="J25" s="370">
        <v>23.553794292999999</v>
      </c>
      <c r="K25" s="369">
        <v>271603</v>
      </c>
      <c r="L25" s="370">
        <v>23.106240743000001</v>
      </c>
      <c r="M25" s="369">
        <v>257926</v>
      </c>
      <c r="N25" s="370">
        <v>21.924466394</v>
      </c>
      <c r="O25" s="369">
        <v>260716</v>
      </c>
      <c r="P25" s="370">
        <v>21.876313694</v>
      </c>
      <c r="Q25" s="369">
        <v>235924</v>
      </c>
      <c r="R25" s="370">
        <v>19.721469890000002</v>
      </c>
      <c r="S25" s="369">
        <v>237234</v>
      </c>
      <c r="T25" s="370">
        <v>19.960001582</v>
      </c>
      <c r="U25" s="369">
        <v>237196</v>
      </c>
      <c r="V25" s="370">
        <v>20.093250519000001</v>
      </c>
      <c r="W25" s="369">
        <v>232172</v>
      </c>
      <c r="X25" s="370">
        <v>19.839334986000001</v>
      </c>
      <c r="Y25" s="369">
        <v>213324</v>
      </c>
      <c r="Z25" s="370">
        <v>18.613701388999999</v>
      </c>
      <c r="AA25" s="369">
        <v>198429</v>
      </c>
      <c r="AB25" s="370">
        <v>18.075594862999999</v>
      </c>
      <c r="AC25" s="369">
        <v>195243</v>
      </c>
      <c r="AD25" s="370">
        <v>18.791108526999999</v>
      </c>
      <c r="AE25" s="369">
        <v>173325</v>
      </c>
      <c r="AF25" s="370">
        <v>17.700475178000001</v>
      </c>
      <c r="AG25" s="369">
        <v>173346</v>
      </c>
      <c r="AH25" s="370">
        <v>19.192894423999999</v>
      </c>
      <c r="AI25" s="369">
        <v>141014</v>
      </c>
      <c r="AJ25" s="370">
        <v>17.141006029</v>
      </c>
      <c r="AK25" s="369">
        <v>111639</v>
      </c>
      <c r="AL25" s="370">
        <v>14.721555192</v>
      </c>
      <c r="AM25" s="369">
        <v>119024</v>
      </c>
      <c r="AN25" s="370">
        <v>16.824297868999999</v>
      </c>
      <c r="AO25" s="369">
        <v>118189</v>
      </c>
      <c r="AP25" s="370">
        <v>17.716568482</v>
      </c>
      <c r="AQ25" s="369">
        <v>103676</v>
      </c>
      <c r="AR25" s="370">
        <v>16.034334099999999</v>
      </c>
      <c r="AS25" s="267" t="s">
        <v>23</v>
      </c>
      <c r="AT25" s="456"/>
      <c r="AV25" s="268"/>
      <c r="AW25" s="269"/>
    </row>
    <row r="26" spans="1:49" s="36" customFormat="1" ht="11.85" customHeight="1">
      <c r="A26" s="450"/>
      <c r="B26" s="266" t="s">
        <v>24</v>
      </c>
      <c r="C26" s="369">
        <v>317872</v>
      </c>
      <c r="D26" s="370">
        <v>18.397797858000001</v>
      </c>
      <c r="E26" s="369">
        <v>321382</v>
      </c>
      <c r="F26" s="370">
        <v>19.232891403</v>
      </c>
      <c r="G26" s="369">
        <v>289822</v>
      </c>
      <c r="H26" s="370">
        <v>18.228773235999999</v>
      </c>
      <c r="I26" s="369">
        <v>270042</v>
      </c>
      <c r="J26" s="370">
        <v>17.949645117999999</v>
      </c>
      <c r="K26" s="369">
        <v>245028</v>
      </c>
      <c r="L26" s="370">
        <v>17.192088052999999</v>
      </c>
      <c r="M26" s="369">
        <v>224553</v>
      </c>
      <c r="N26" s="370">
        <v>16.867362184000001</v>
      </c>
      <c r="O26" s="369">
        <v>208158</v>
      </c>
      <c r="P26" s="370">
        <v>16.689784785000001</v>
      </c>
      <c r="Q26" s="369">
        <v>185580</v>
      </c>
      <c r="R26" s="370">
        <v>15.263697272</v>
      </c>
      <c r="S26" s="369">
        <v>183971</v>
      </c>
      <c r="T26" s="370">
        <v>15.250255523</v>
      </c>
      <c r="U26" s="369">
        <v>184004</v>
      </c>
      <c r="V26" s="370">
        <v>15.444480817000001</v>
      </c>
      <c r="W26" s="369">
        <v>179019</v>
      </c>
      <c r="X26" s="370">
        <v>15.004299659000001</v>
      </c>
      <c r="Y26" s="369">
        <v>167006</v>
      </c>
      <c r="Z26" s="370">
        <v>13.822642826999999</v>
      </c>
      <c r="AA26" s="369">
        <v>161087</v>
      </c>
      <c r="AB26" s="370">
        <v>13.286775004000001</v>
      </c>
      <c r="AC26" s="369">
        <v>162704</v>
      </c>
      <c r="AD26" s="370">
        <v>13.524562229000001</v>
      </c>
      <c r="AE26" s="369">
        <v>152083</v>
      </c>
      <c r="AF26" s="370">
        <v>12.747796757</v>
      </c>
      <c r="AG26" s="369">
        <v>164572</v>
      </c>
      <c r="AH26" s="370">
        <v>13.916693656</v>
      </c>
      <c r="AI26" s="369">
        <v>144191</v>
      </c>
      <c r="AJ26" s="370">
        <v>12.451608836</v>
      </c>
      <c r="AK26" s="369">
        <v>116262</v>
      </c>
      <c r="AL26" s="370">
        <v>10.476102085000001</v>
      </c>
      <c r="AM26" s="369">
        <v>116209</v>
      </c>
      <c r="AN26" s="370">
        <v>11.058497968999999</v>
      </c>
      <c r="AO26" s="369">
        <v>113551</v>
      </c>
      <c r="AP26" s="370">
        <v>11.462729296999999</v>
      </c>
      <c r="AQ26" s="369">
        <v>98526</v>
      </c>
      <c r="AR26" s="370">
        <v>10.761911575999999</v>
      </c>
      <c r="AS26" s="267" t="s">
        <v>24</v>
      </c>
      <c r="AT26" s="456"/>
      <c r="AV26" s="268"/>
      <c r="AW26" s="269"/>
    </row>
    <row r="27" spans="1:49" s="36" customFormat="1" ht="11.85" customHeight="1">
      <c r="A27" s="450"/>
      <c r="B27" s="270" t="s">
        <v>25</v>
      </c>
      <c r="C27" s="369">
        <v>276263</v>
      </c>
      <c r="D27" s="370">
        <v>14.701604728</v>
      </c>
      <c r="E27" s="369">
        <v>294149</v>
      </c>
      <c r="F27" s="370">
        <v>15.561430165000001</v>
      </c>
      <c r="G27" s="369">
        <v>286306</v>
      </c>
      <c r="H27" s="370">
        <v>15.334212411999999</v>
      </c>
      <c r="I27" s="369">
        <v>276298</v>
      </c>
      <c r="J27" s="370">
        <v>15.130148695999999</v>
      </c>
      <c r="K27" s="369">
        <v>256986</v>
      </c>
      <c r="L27" s="370">
        <v>14.486498919000001</v>
      </c>
      <c r="M27" s="369">
        <v>238829</v>
      </c>
      <c r="N27" s="370">
        <v>13.857715716</v>
      </c>
      <c r="O27" s="369">
        <v>228754</v>
      </c>
      <c r="P27" s="370">
        <v>13.720454306000001</v>
      </c>
      <c r="Q27" s="369">
        <v>197789</v>
      </c>
      <c r="R27" s="370">
        <v>12.465046457</v>
      </c>
      <c r="S27" s="369">
        <v>181030</v>
      </c>
      <c r="T27" s="370">
        <v>12.051633690999999</v>
      </c>
      <c r="U27" s="369">
        <v>172334</v>
      </c>
      <c r="V27" s="370">
        <v>12.102421201</v>
      </c>
      <c r="W27" s="369">
        <v>161522</v>
      </c>
      <c r="X27" s="370">
        <v>12.13690062</v>
      </c>
      <c r="Y27" s="369">
        <v>139294</v>
      </c>
      <c r="Z27" s="370">
        <v>11.168752445999999</v>
      </c>
      <c r="AA27" s="369">
        <v>129396</v>
      </c>
      <c r="AB27" s="370">
        <v>10.641608495</v>
      </c>
      <c r="AC27" s="369">
        <v>129296</v>
      </c>
      <c r="AD27" s="370">
        <v>10.717009157</v>
      </c>
      <c r="AE27" s="369">
        <v>123789</v>
      </c>
      <c r="AF27" s="370">
        <v>10.391163872</v>
      </c>
      <c r="AG27" s="369">
        <v>130340</v>
      </c>
      <c r="AH27" s="370">
        <v>10.925608792</v>
      </c>
      <c r="AI27" s="369">
        <v>118502</v>
      </c>
      <c r="AJ27" s="370">
        <v>9.8087694709999997</v>
      </c>
      <c r="AK27" s="369">
        <v>100127</v>
      </c>
      <c r="AL27" s="370">
        <v>8.258523533</v>
      </c>
      <c r="AM27" s="369">
        <v>102385</v>
      </c>
      <c r="AN27" s="370">
        <v>8.5091016679999996</v>
      </c>
      <c r="AO27" s="369">
        <v>107054</v>
      </c>
      <c r="AP27" s="370">
        <v>8.9701135860000001</v>
      </c>
      <c r="AQ27" s="369">
        <v>101951</v>
      </c>
      <c r="AR27" s="370">
        <v>8.6168906300000003</v>
      </c>
      <c r="AS27" s="271" t="s">
        <v>25</v>
      </c>
      <c r="AT27" s="456"/>
      <c r="AV27" s="268"/>
      <c r="AW27" s="269"/>
    </row>
    <row r="28" spans="1:49" s="36" customFormat="1" ht="11.85" customHeight="1">
      <c r="A28" s="450"/>
      <c r="B28" s="270" t="s">
        <v>26</v>
      </c>
      <c r="C28" s="369">
        <v>225854</v>
      </c>
      <c r="D28" s="370">
        <v>13.713753464</v>
      </c>
      <c r="E28" s="369">
        <v>239672</v>
      </c>
      <c r="F28" s="370">
        <v>14.361101973</v>
      </c>
      <c r="G28" s="369">
        <v>245055</v>
      </c>
      <c r="H28" s="370">
        <v>14.228944002</v>
      </c>
      <c r="I28" s="369">
        <v>248456</v>
      </c>
      <c r="J28" s="370">
        <v>13.959433500999999</v>
      </c>
      <c r="K28" s="369">
        <v>248632</v>
      </c>
      <c r="L28" s="370">
        <v>13.588430662</v>
      </c>
      <c r="M28" s="369">
        <v>248562</v>
      </c>
      <c r="N28" s="370">
        <v>13.285904419</v>
      </c>
      <c r="O28" s="369">
        <v>254896</v>
      </c>
      <c r="P28" s="370">
        <v>13.540450406</v>
      </c>
      <c r="Q28" s="369">
        <v>232638</v>
      </c>
      <c r="R28" s="370">
        <v>12.510405710000001</v>
      </c>
      <c r="S28" s="369">
        <v>225278</v>
      </c>
      <c r="T28" s="370">
        <v>12.385064121999999</v>
      </c>
      <c r="U28" s="369">
        <v>223360</v>
      </c>
      <c r="V28" s="370">
        <v>12.63489201</v>
      </c>
      <c r="W28" s="369">
        <v>220956</v>
      </c>
      <c r="X28" s="370">
        <v>12.858576953</v>
      </c>
      <c r="Y28" s="369">
        <v>199929</v>
      </c>
      <c r="Z28" s="370">
        <v>12.023511908</v>
      </c>
      <c r="AA28" s="369">
        <v>186730</v>
      </c>
      <c r="AB28" s="370">
        <v>11.798349506999999</v>
      </c>
      <c r="AC28" s="369">
        <v>176285</v>
      </c>
      <c r="AD28" s="370">
        <v>11.770302662000001</v>
      </c>
      <c r="AE28" s="369">
        <v>169771</v>
      </c>
      <c r="AF28" s="370">
        <v>11.964652437</v>
      </c>
      <c r="AG28" s="369">
        <v>166382</v>
      </c>
      <c r="AH28" s="370">
        <v>12.548551707</v>
      </c>
      <c r="AI28" s="369">
        <v>147443</v>
      </c>
      <c r="AJ28" s="370">
        <v>11.866553884</v>
      </c>
      <c r="AK28" s="369">
        <v>128868</v>
      </c>
      <c r="AL28" s="370">
        <v>10.638176680999999</v>
      </c>
      <c r="AM28" s="369">
        <v>127595</v>
      </c>
      <c r="AN28" s="370">
        <v>10.614756587</v>
      </c>
      <c r="AO28" s="369">
        <v>130703</v>
      </c>
      <c r="AP28" s="370">
        <v>11.010880050000001</v>
      </c>
      <c r="AQ28" s="369">
        <v>130215</v>
      </c>
      <c r="AR28" s="370">
        <v>10.954698873</v>
      </c>
      <c r="AS28" s="271" t="s">
        <v>26</v>
      </c>
      <c r="AT28" s="456"/>
      <c r="AV28" s="268"/>
      <c r="AW28" s="269"/>
    </row>
    <row r="29" spans="1:49" s="36" customFormat="1" ht="11.85" customHeight="1">
      <c r="A29" s="450"/>
      <c r="B29" s="270" t="s">
        <v>27</v>
      </c>
      <c r="C29" s="369">
        <v>371243</v>
      </c>
      <c r="D29" s="370">
        <v>18.947069184</v>
      </c>
      <c r="E29" s="369">
        <v>372444</v>
      </c>
      <c r="F29" s="370">
        <v>20.016908097000002</v>
      </c>
      <c r="G29" s="369">
        <v>345773</v>
      </c>
      <c r="H29" s="370">
        <v>19.684645347</v>
      </c>
      <c r="I29" s="369">
        <v>315026</v>
      </c>
      <c r="J29" s="370">
        <v>18.787243381</v>
      </c>
      <c r="K29" s="369">
        <v>287596</v>
      </c>
      <c r="L29" s="370">
        <v>17.503245388</v>
      </c>
      <c r="M29" s="369">
        <v>283883</v>
      </c>
      <c r="N29" s="370">
        <v>17.322571827000001</v>
      </c>
      <c r="O29" s="369">
        <v>287048</v>
      </c>
      <c r="P29" s="370">
        <v>17.280285107000001</v>
      </c>
      <c r="Q29" s="369">
        <v>277355</v>
      </c>
      <c r="R29" s="370">
        <v>16.182248448999999</v>
      </c>
      <c r="S29" s="369">
        <v>280988</v>
      </c>
      <c r="T29" s="370">
        <v>15.868716622999999</v>
      </c>
      <c r="U29" s="369">
        <v>303649</v>
      </c>
      <c r="V29" s="370">
        <v>16.677678968999999</v>
      </c>
      <c r="W29" s="369">
        <v>326900</v>
      </c>
      <c r="X29" s="370">
        <v>17.552903020999999</v>
      </c>
      <c r="Y29" s="369">
        <v>320227</v>
      </c>
      <c r="Z29" s="370">
        <v>17.086245718000001</v>
      </c>
      <c r="AA29" s="369">
        <v>311749</v>
      </c>
      <c r="AB29" s="370">
        <v>16.839500544</v>
      </c>
      <c r="AC29" s="369">
        <v>310196</v>
      </c>
      <c r="AD29" s="370">
        <v>17.132363297000001</v>
      </c>
      <c r="AE29" s="369">
        <v>310352</v>
      </c>
      <c r="AF29" s="370">
        <v>17.641815750999999</v>
      </c>
      <c r="AG29" s="369">
        <v>334628</v>
      </c>
      <c r="AH29" s="370">
        <v>19.572024990999999</v>
      </c>
      <c r="AI29" s="369">
        <v>324815</v>
      </c>
      <c r="AJ29" s="370">
        <v>19.634505566000001</v>
      </c>
      <c r="AK29" s="369">
        <v>292368</v>
      </c>
      <c r="AL29" s="370">
        <v>18.572964992999999</v>
      </c>
      <c r="AM29" s="369">
        <v>275222</v>
      </c>
      <c r="AN29" s="370">
        <v>18.480056295000001</v>
      </c>
      <c r="AO29" s="369">
        <v>281529</v>
      </c>
      <c r="AP29" s="370">
        <v>19.956900371</v>
      </c>
      <c r="AQ29" s="369">
        <v>271863</v>
      </c>
      <c r="AR29" s="370">
        <v>20.629986985999999</v>
      </c>
      <c r="AS29" s="271" t="s">
        <v>27</v>
      </c>
      <c r="AT29" s="456"/>
      <c r="AV29" s="268"/>
      <c r="AW29" s="269"/>
    </row>
    <row r="30" spans="1:49" s="36" customFormat="1" ht="11.85" customHeight="1">
      <c r="A30" s="450"/>
      <c r="B30" s="270" t="s">
        <v>28</v>
      </c>
      <c r="C30" s="369">
        <v>602605</v>
      </c>
      <c r="D30" s="370">
        <v>30.296334506000001</v>
      </c>
      <c r="E30" s="369">
        <v>640255</v>
      </c>
      <c r="F30" s="370">
        <v>31.651448713000001</v>
      </c>
      <c r="G30" s="369">
        <v>631466</v>
      </c>
      <c r="H30" s="370">
        <v>30.711459662999999</v>
      </c>
      <c r="I30" s="369">
        <v>609508</v>
      </c>
      <c r="J30" s="370">
        <v>29.382035687999998</v>
      </c>
      <c r="K30" s="369">
        <v>561628</v>
      </c>
      <c r="L30" s="370">
        <v>27.542584421000001</v>
      </c>
      <c r="M30" s="369">
        <v>529788</v>
      </c>
      <c r="N30" s="370">
        <v>27.141752010000001</v>
      </c>
      <c r="O30" s="369">
        <v>493907</v>
      </c>
      <c r="P30" s="370">
        <v>26.661646424000001</v>
      </c>
      <c r="Q30" s="369">
        <v>439500</v>
      </c>
      <c r="R30" s="370">
        <v>25.140920724000001</v>
      </c>
      <c r="S30" s="369">
        <v>407840</v>
      </c>
      <c r="T30" s="370">
        <v>24.452305293999999</v>
      </c>
      <c r="U30" s="369">
        <v>412100</v>
      </c>
      <c r="V30" s="370">
        <v>25.215272097</v>
      </c>
      <c r="W30" s="369">
        <v>425015</v>
      </c>
      <c r="X30" s="370">
        <v>26.067759061</v>
      </c>
      <c r="Y30" s="369">
        <v>421462</v>
      </c>
      <c r="Z30" s="370">
        <v>25.503690350999999</v>
      </c>
      <c r="AA30" s="369">
        <v>433168</v>
      </c>
      <c r="AB30" s="370">
        <v>25.400488931000002</v>
      </c>
      <c r="AC30" s="369">
        <v>466923</v>
      </c>
      <c r="AD30" s="370">
        <v>26.497873294000001</v>
      </c>
      <c r="AE30" s="369">
        <v>488903</v>
      </c>
      <c r="AF30" s="370">
        <v>26.991605545999999</v>
      </c>
      <c r="AG30" s="369">
        <v>531266</v>
      </c>
      <c r="AH30" s="370">
        <v>28.674750949</v>
      </c>
      <c r="AI30" s="369">
        <v>536486</v>
      </c>
      <c r="AJ30" s="370">
        <v>28.767023390999999</v>
      </c>
      <c r="AK30" s="369">
        <v>474561</v>
      </c>
      <c r="AL30" s="370">
        <v>25.764250224000001</v>
      </c>
      <c r="AM30" s="369">
        <v>452356</v>
      </c>
      <c r="AN30" s="370">
        <v>25.120198849000001</v>
      </c>
      <c r="AO30" s="369">
        <v>448310</v>
      </c>
      <c r="AP30" s="370">
        <v>25.63108639</v>
      </c>
      <c r="AQ30" s="369">
        <v>439801</v>
      </c>
      <c r="AR30" s="370">
        <v>25.879080594000001</v>
      </c>
      <c r="AS30" s="271" t="s">
        <v>28</v>
      </c>
      <c r="AT30" s="456"/>
      <c r="AV30" s="268"/>
      <c r="AW30" s="269"/>
    </row>
    <row r="31" spans="1:49" s="36" customFormat="1" ht="11.85" customHeight="1">
      <c r="A31" s="450"/>
      <c r="B31" s="270" t="s">
        <v>29</v>
      </c>
      <c r="C31" s="369">
        <v>622185</v>
      </c>
      <c r="D31" s="370">
        <v>27.459340703999999</v>
      </c>
      <c r="E31" s="369">
        <v>636513</v>
      </c>
      <c r="F31" s="370">
        <v>29.155314724</v>
      </c>
      <c r="G31" s="369">
        <v>592250</v>
      </c>
      <c r="H31" s="370">
        <v>28.164318887</v>
      </c>
      <c r="I31" s="369">
        <v>559194</v>
      </c>
      <c r="J31" s="370">
        <v>27.523927419</v>
      </c>
      <c r="K31" s="369">
        <v>528981</v>
      </c>
      <c r="L31" s="370">
        <v>26.672619900000001</v>
      </c>
      <c r="M31" s="369">
        <v>532176</v>
      </c>
      <c r="N31" s="370">
        <v>26.815737042999999</v>
      </c>
      <c r="O31" s="369">
        <v>537078</v>
      </c>
      <c r="P31" s="370">
        <v>26.636743944999999</v>
      </c>
      <c r="Q31" s="369">
        <v>515548</v>
      </c>
      <c r="R31" s="370">
        <v>25.175110653000001</v>
      </c>
      <c r="S31" s="369">
        <v>518319</v>
      </c>
      <c r="T31" s="370">
        <v>25.112415486</v>
      </c>
      <c r="U31" s="369">
        <v>526744</v>
      </c>
      <c r="V31" s="370">
        <v>25.965734206</v>
      </c>
      <c r="W31" s="369">
        <v>507347</v>
      </c>
      <c r="X31" s="370">
        <v>26.113208518</v>
      </c>
      <c r="Y31" s="369">
        <v>467289</v>
      </c>
      <c r="Z31" s="370">
        <v>25.336188172</v>
      </c>
      <c r="AA31" s="369">
        <v>435671</v>
      </c>
      <c r="AB31" s="370">
        <v>25.028609312</v>
      </c>
      <c r="AC31" s="369">
        <v>424516</v>
      </c>
      <c r="AD31" s="370">
        <v>25.553010716999999</v>
      </c>
      <c r="AE31" s="369">
        <v>412910</v>
      </c>
      <c r="AF31" s="370">
        <v>25.369348866999999</v>
      </c>
      <c r="AG31" s="369">
        <v>450570</v>
      </c>
      <c r="AH31" s="370">
        <v>27.746303326</v>
      </c>
      <c r="AI31" s="369">
        <v>437008</v>
      </c>
      <c r="AJ31" s="370">
        <v>26.540876148999999</v>
      </c>
      <c r="AK31" s="369">
        <v>389682</v>
      </c>
      <c r="AL31" s="370">
        <v>22.940958301999999</v>
      </c>
      <c r="AM31" s="369">
        <v>415822</v>
      </c>
      <c r="AN31" s="370">
        <v>23.704204509</v>
      </c>
      <c r="AO31" s="369">
        <v>437849</v>
      </c>
      <c r="AP31" s="370">
        <v>24.290182494</v>
      </c>
      <c r="AQ31" s="369">
        <v>435709</v>
      </c>
      <c r="AR31" s="370">
        <v>23.641150270000001</v>
      </c>
      <c r="AS31" s="271" t="s">
        <v>29</v>
      </c>
      <c r="AT31" s="456"/>
      <c r="AV31" s="268"/>
      <c r="AW31" s="269"/>
    </row>
    <row r="32" spans="1:49" s="36" customFormat="1" ht="11.85" customHeight="1">
      <c r="A32" s="450"/>
      <c r="B32" s="270" t="s">
        <v>30</v>
      </c>
      <c r="C32" s="369">
        <v>462961</v>
      </c>
      <c r="D32" s="370">
        <v>20.591007243</v>
      </c>
      <c r="E32" s="369">
        <v>508793</v>
      </c>
      <c r="F32" s="370">
        <v>22.226313994000002</v>
      </c>
      <c r="G32" s="369">
        <v>497302</v>
      </c>
      <c r="H32" s="370">
        <v>21.359631961000002</v>
      </c>
      <c r="I32" s="369">
        <v>489830</v>
      </c>
      <c r="J32" s="370">
        <v>20.979760782</v>
      </c>
      <c r="K32" s="369">
        <v>476058</v>
      </c>
      <c r="L32" s="370">
        <v>20.590859724000001</v>
      </c>
      <c r="M32" s="369">
        <v>458786</v>
      </c>
      <c r="N32" s="370">
        <v>20.298397315999999</v>
      </c>
      <c r="O32" s="369">
        <v>435988</v>
      </c>
      <c r="P32" s="370">
        <v>20.027874424</v>
      </c>
      <c r="Q32" s="369">
        <v>393074</v>
      </c>
      <c r="R32" s="370">
        <v>18.760073289000001</v>
      </c>
      <c r="S32" s="369">
        <v>383498</v>
      </c>
      <c r="T32" s="370">
        <v>18.969854839</v>
      </c>
      <c r="U32" s="369">
        <v>390807</v>
      </c>
      <c r="V32" s="370">
        <v>19.814654165</v>
      </c>
      <c r="W32" s="369">
        <v>398569</v>
      </c>
      <c r="X32" s="370">
        <v>20.186851795999999</v>
      </c>
      <c r="Y32" s="369">
        <v>390276</v>
      </c>
      <c r="Z32" s="370">
        <v>19.454143867999999</v>
      </c>
      <c r="AA32" s="369">
        <v>388484</v>
      </c>
      <c r="AB32" s="370">
        <v>19.066016285</v>
      </c>
      <c r="AC32" s="369">
        <v>403629</v>
      </c>
      <c r="AD32" s="370">
        <v>19.649144841999998</v>
      </c>
      <c r="AE32" s="369">
        <v>384999</v>
      </c>
      <c r="AF32" s="370">
        <v>19.074824039999999</v>
      </c>
      <c r="AG32" s="369">
        <v>405379</v>
      </c>
      <c r="AH32" s="370">
        <v>20.965681529000001</v>
      </c>
      <c r="AI32" s="369">
        <v>356160</v>
      </c>
      <c r="AJ32" s="370">
        <v>19.389230527999999</v>
      </c>
      <c r="AK32" s="369">
        <v>288137</v>
      </c>
      <c r="AL32" s="370">
        <v>16.619571430000001</v>
      </c>
      <c r="AM32" s="369">
        <v>293535</v>
      </c>
      <c r="AN32" s="370">
        <v>17.746590763</v>
      </c>
      <c r="AO32" s="369">
        <v>298377</v>
      </c>
      <c r="AP32" s="370">
        <v>18.416355280000001</v>
      </c>
      <c r="AQ32" s="369">
        <v>287566</v>
      </c>
      <c r="AR32" s="370">
        <v>17.796786915999999</v>
      </c>
      <c r="AS32" s="271" t="s">
        <v>30</v>
      </c>
      <c r="AT32" s="456"/>
      <c r="AV32" s="268"/>
      <c r="AW32" s="269"/>
    </row>
    <row r="33" spans="1:49" s="36" customFormat="1" ht="11.85" customHeight="1">
      <c r="A33" s="450"/>
      <c r="B33" s="270" t="s">
        <v>31</v>
      </c>
      <c r="C33" s="369">
        <v>363757</v>
      </c>
      <c r="D33" s="370">
        <v>16.402584502</v>
      </c>
      <c r="E33" s="369">
        <v>381844</v>
      </c>
      <c r="F33" s="370">
        <v>17.559493288999999</v>
      </c>
      <c r="G33" s="369">
        <v>370458</v>
      </c>
      <c r="H33" s="370">
        <v>17.318566861000001</v>
      </c>
      <c r="I33" s="369">
        <v>365323</v>
      </c>
      <c r="J33" s="370">
        <v>16.960851359999999</v>
      </c>
      <c r="K33" s="369">
        <v>371155</v>
      </c>
      <c r="L33" s="370">
        <v>16.851807792999999</v>
      </c>
      <c r="M33" s="369">
        <v>366280</v>
      </c>
      <c r="N33" s="370">
        <v>16.367861292000001</v>
      </c>
      <c r="O33" s="369">
        <v>364703</v>
      </c>
      <c r="P33" s="370">
        <v>16.002855655000001</v>
      </c>
      <c r="Q33" s="369">
        <v>343796</v>
      </c>
      <c r="R33" s="370">
        <v>14.83835799</v>
      </c>
      <c r="S33" s="369">
        <v>342968</v>
      </c>
      <c r="T33" s="370">
        <v>14.782236902999999</v>
      </c>
      <c r="U33" s="369">
        <v>350261</v>
      </c>
      <c r="V33" s="370">
        <v>15.258652723999999</v>
      </c>
      <c r="W33" s="369">
        <v>348511</v>
      </c>
      <c r="X33" s="370">
        <v>15.525099306</v>
      </c>
      <c r="Y33" s="369">
        <v>317045</v>
      </c>
      <c r="Z33" s="370">
        <v>14.659752438</v>
      </c>
      <c r="AA33" s="369">
        <v>297834</v>
      </c>
      <c r="AB33" s="370">
        <v>14.304898747999999</v>
      </c>
      <c r="AC33" s="369">
        <v>295225</v>
      </c>
      <c r="AD33" s="370">
        <v>14.691977327</v>
      </c>
      <c r="AE33" s="369">
        <v>281179</v>
      </c>
      <c r="AF33" s="370">
        <v>14.347997585</v>
      </c>
      <c r="AG33" s="369">
        <v>314243</v>
      </c>
      <c r="AH33" s="370">
        <v>16.013712221999999</v>
      </c>
      <c r="AI33" s="369">
        <v>292798</v>
      </c>
      <c r="AJ33" s="370">
        <v>14.675385081</v>
      </c>
      <c r="AK33" s="369">
        <v>251201</v>
      </c>
      <c r="AL33" s="370">
        <v>12.397469584</v>
      </c>
      <c r="AM33" s="369">
        <v>260932</v>
      </c>
      <c r="AN33" s="370">
        <v>12.779520795</v>
      </c>
      <c r="AO33" s="369">
        <v>263976</v>
      </c>
      <c r="AP33" s="370">
        <v>13.161224703</v>
      </c>
      <c r="AQ33" s="369">
        <v>246559</v>
      </c>
      <c r="AR33" s="370">
        <v>12.83587855</v>
      </c>
      <c r="AS33" s="271" t="s">
        <v>31</v>
      </c>
      <c r="AT33" s="456"/>
      <c r="AV33" s="268"/>
      <c r="AW33" s="269"/>
    </row>
    <row r="34" spans="1:49" s="36" customFormat="1" ht="11.85" customHeight="1">
      <c r="A34" s="450"/>
      <c r="B34" s="270" t="s">
        <v>32</v>
      </c>
      <c r="C34" s="369">
        <v>286498</v>
      </c>
      <c r="D34" s="370">
        <v>14.170953842999999</v>
      </c>
      <c r="E34" s="369">
        <v>324232</v>
      </c>
      <c r="F34" s="370">
        <v>15.302703573000001</v>
      </c>
      <c r="G34" s="369">
        <v>327124</v>
      </c>
      <c r="H34" s="370">
        <v>14.905275743000001</v>
      </c>
      <c r="I34" s="369">
        <v>330370</v>
      </c>
      <c r="J34" s="370">
        <v>14.855093480000001</v>
      </c>
      <c r="K34" s="369">
        <v>322719</v>
      </c>
      <c r="L34" s="370">
        <v>14.522310707000001</v>
      </c>
      <c r="M34" s="369">
        <v>309761</v>
      </c>
      <c r="N34" s="370">
        <v>14.103823218</v>
      </c>
      <c r="O34" s="369">
        <v>297325</v>
      </c>
      <c r="P34" s="370">
        <v>13.790149476</v>
      </c>
      <c r="Q34" s="369">
        <v>274519</v>
      </c>
      <c r="R34" s="370">
        <v>12.942989723</v>
      </c>
      <c r="S34" s="369">
        <v>270050</v>
      </c>
      <c r="T34" s="370">
        <v>12.66319603</v>
      </c>
      <c r="U34" s="369">
        <v>288338</v>
      </c>
      <c r="V34" s="370">
        <v>13.232620191000001</v>
      </c>
      <c r="W34" s="369">
        <v>298480</v>
      </c>
      <c r="X34" s="370">
        <v>13.478425398000001</v>
      </c>
      <c r="Y34" s="369">
        <v>289135</v>
      </c>
      <c r="Z34" s="370">
        <v>12.816835853000001</v>
      </c>
      <c r="AA34" s="369">
        <v>285022</v>
      </c>
      <c r="AB34" s="370">
        <v>12.420476953</v>
      </c>
      <c r="AC34" s="369">
        <v>288863</v>
      </c>
      <c r="AD34" s="370">
        <v>12.564139033</v>
      </c>
      <c r="AE34" s="369">
        <v>280371</v>
      </c>
      <c r="AF34" s="370">
        <v>12.329246026</v>
      </c>
      <c r="AG34" s="369">
        <v>296961</v>
      </c>
      <c r="AH34" s="370">
        <v>13.348421578</v>
      </c>
      <c r="AI34" s="369">
        <v>260471</v>
      </c>
      <c r="AJ34" s="370">
        <v>12.142083318999999</v>
      </c>
      <c r="AK34" s="369">
        <v>211649</v>
      </c>
      <c r="AL34" s="370">
        <v>10.248869786</v>
      </c>
      <c r="AM34" s="369">
        <v>205376</v>
      </c>
      <c r="AN34" s="370">
        <v>10.310185083</v>
      </c>
      <c r="AO34" s="369">
        <v>205985</v>
      </c>
      <c r="AP34" s="370">
        <v>10.605483331</v>
      </c>
      <c r="AQ34" s="369">
        <v>204883</v>
      </c>
      <c r="AR34" s="370">
        <v>10.538820696</v>
      </c>
      <c r="AS34" s="271" t="s">
        <v>32</v>
      </c>
      <c r="AT34" s="456"/>
      <c r="AV34" s="268"/>
      <c r="AW34" s="269"/>
    </row>
    <row r="35" spans="1:49" s="36" customFormat="1" ht="11.85" customHeight="1">
      <c r="A35" s="450"/>
      <c r="B35" s="270" t="s">
        <v>33</v>
      </c>
      <c r="C35" s="369">
        <v>178043</v>
      </c>
      <c r="D35" s="370">
        <v>12.524612306</v>
      </c>
      <c r="E35" s="369">
        <v>206272</v>
      </c>
      <c r="F35" s="370">
        <v>13.329929851999999</v>
      </c>
      <c r="G35" s="369">
        <v>213945</v>
      </c>
      <c r="H35" s="370">
        <v>12.903395068</v>
      </c>
      <c r="I35" s="369">
        <v>227192</v>
      </c>
      <c r="J35" s="370">
        <v>12.859536316</v>
      </c>
      <c r="K35" s="369">
        <v>238790</v>
      </c>
      <c r="L35" s="370">
        <v>12.670189849</v>
      </c>
      <c r="M35" s="369">
        <v>246128</v>
      </c>
      <c r="N35" s="370">
        <v>12.386522219</v>
      </c>
      <c r="O35" s="369">
        <v>258228</v>
      </c>
      <c r="P35" s="370">
        <v>12.385119133</v>
      </c>
      <c r="Q35" s="369">
        <v>245730</v>
      </c>
      <c r="R35" s="370">
        <v>11.373487596</v>
      </c>
      <c r="S35" s="369">
        <v>247783</v>
      </c>
      <c r="T35" s="370">
        <v>11.325980234999999</v>
      </c>
      <c r="U35" s="369">
        <v>259186</v>
      </c>
      <c r="V35" s="370">
        <v>11.863748112</v>
      </c>
      <c r="W35" s="369">
        <v>266023</v>
      </c>
      <c r="X35" s="370">
        <v>12.316472644999999</v>
      </c>
      <c r="Y35" s="369">
        <v>247395</v>
      </c>
      <c r="Z35" s="370">
        <v>11.662369008000001</v>
      </c>
      <c r="AA35" s="369">
        <v>237166</v>
      </c>
      <c r="AB35" s="370">
        <v>11.358247476000001</v>
      </c>
      <c r="AC35" s="369">
        <v>241177</v>
      </c>
      <c r="AD35" s="370">
        <v>11.479409582000001</v>
      </c>
      <c r="AE35" s="369">
        <v>242359</v>
      </c>
      <c r="AF35" s="370">
        <v>11.288378363</v>
      </c>
      <c r="AG35" s="369">
        <v>268871</v>
      </c>
      <c r="AH35" s="370">
        <v>12.309703235000001</v>
      </c>
      <c r="AI35" s="369">
        <v>253065</v>
      </c>
      <c r="AJ35" s="370">
        <v>11.357236045000001</v>
      </c>
      <c r="AK35" s="369">
        <v>217313</v>
      </c>
      <c r="AL35" s="370">
        <v>9.5879713229999997</v>
      </c>
      <c r="AM35" s="369">
        <v>213066</v>
      </c>
      <c r="AN35" s="370">
        <v>9.3897619839999997</v>
      </c>
      <c r="AO35" s="369">
        <v>215340</v>
      </c>
      <c r="AP35" s="370">
        <v>9.597766494</v>
      </c>
      <c r="AQ35" s="369">
        <v>208493</v>
      </c>
      <c r="AR35" s="370">
        <v>9.5028324860000009</v>
      </c>
      <c r="AS35" s="271" t="s">
        <v>33</v>
      </c>
      <c r="AT35" s="456"/>
      <c r="AV35" s="268"/>
      <c r="AW35" s="269"/>
    </row>
    <row r="36" spans="1:49" s="36" customFormat="1" ht="11.85" customHeight="1">
      <c r="A36" s="450"/>
      <c r="B36" s="270" t="s">
        <v>34</v>
      </c>
      <c r="C36" s="369">
        <v>121419</v>
      </c>
      <c r="D36" s="370">
        <v>10.87983871</v>
      </c>
      <c r="E36" s="369">
        <v>136050</v>
      </c>
      <c r="F36" s="370">
        <v>11.777161051</v>
      </c>
      <c r="G36" s="369">
        <v>136514</v>
      </c>
      <c r="H36" s="370">
        <v>11.436877424</v>
      </c>
      <c r="I36" s="369">
        <v>143104</v>
      </c>
      <c r="J36" s="370">
        <v>11.583504126999999</v>
      </c>
      <c r="K36" s="369">
        <v>144182</v>
      </c>
      <c r="L36" s="370">
        <v>11.215466519</v>
      </c>
      <c r="M36" s="369">
        <v>153783</v>
      </c>
      <c r="N36" s="370">
        <v>11.124694996000001</v>
      </c>
      <c r="O36" s="369">
        <v>167545</v>
      </c>
      <c r="P36" s="370">
        <v>11.116669796</v>
      </c>
      <c r="Q36" s="369">
        <v>164703</v>
      </c>
      <c r="R36" s="370">
        <v>10.191374058999999</v>
      </c>
      <c r="S36" s="369">
        <v>173530</v>
      </c>
      <c r="T36" s="370">
        <v>10.080191925999999</v>
      </c>
      <c r="U36" s="369">
        <v>197218</v>
      </c>
      <c r="V36" s="370">
        <v>10.740270377</v>
      </c>
      <c r="W36" s="369">
        <v>216272</v>
      </c>
      <c r="X36" s="370">
        <v>11.163238202</v>
      </c>
      <c r="Y36" s="369">
        <v>219055</v>
      </c>
      <c r="Z36" s="370">
        <v>10.768188630999999</v>
      </c>
      <c r="AA36" s="369">
        <v>216195</v>
      </c>
      <c r="AB36" s="370">
        <v>10.245611275</v>
      </c>
      <c r="AC36" s="369">
        <v>225386</v>
      </c>
      <c r="AD36" s="370">
        <v>10.537881455000001</v>
      </c>
      <c r="AE36" s="369">
        <v>214434</v>
      </c>
      <c r="AF36" s="370">
        <v>10.034840271</v>
      </c>
      <c r="AG36" s="369">
        <v>234698</v>
      </c>
      <c r="AH36" s="370">
        <v>11.094445403</v>
      </c>
      <c r="AI36" s="369">
        <v>215317</v>
      </c>
      <c r="AJ36" s="370">
        <v>10.34516391</v>
      </c>
      <c r="AK36" s="369">
        <v>179770</v>
      </c>
      <c r="AL36" s="370">
        <v>8.7715274959999991</v>
      </c>
      <c r="AM36" s="369">
        <v>173945</v>
      </c>
      <c r="AN36" s="370">
        <v>8.4400029310000004</v>
      </c>
      <c r="AO36" s="369">
        <v>183940</v>
      </c>
      <c r="AP36" s="370">
        <v>8.7356444119999992</v>
      </c>
      <c r="AQ36" s="369">
        <v>186544</v>
      </c>
      <c r="AR36" s="370">
        <v>8.7108913690000005</v>
      </c>
      <c r="AS36" s="271" t="s">
        <v>34</v>
      </c>
      <c r="AT36" s="456"/>
      <c r="AV36" s="268"/>
      <c r="AW36" s="269"/>
    </row>
    <row r="37" spans="1:49" s="36" customFormat="1" ht="11.85" customHeight="1">
      <c r="A37" s="450"/>
      <c r="B37" s="270" t="s">
        <v>35</v>
      </c>
      <c r="C37" s="369">
        <v>95624</v>
      </c>
      <c r="D37" s="370">
        <v>10.124191379999999</v>
      </c>
      <c r="E37" s="369">
        <v>102531</v>
      </c>
      <c r="F37" s="370">
        <v>10.917593893999999</v>
      </c>
      <c r="G37" s="369">
        <v>100848</v>
      </c>
      <c r="H37" s="370">
        <v>10.743494384</v>
      </c>
      <c r="I37" s="369">
        <v>104094</v>
      </c>
      <c r="J37" s="370">
        <v>10.786043236999999</v>
      </c>
      <c r="K37" s="369">
        <v>106836</v>
      </c>
      <c r="L37" s="370">
        <v>10.519713384999999</v>
      </c>
      <c r="M37" s="369">
        <v>107273</v>
      </c>
      <c r="N37" s="370">
        <v>10.031073296000001</v>
      </c>
      <c r="O37" s="369">
        <v>111281</v>
      </c>
      <c r="P37" s="370">
        <v>10.044481271</v>
      </c>
      <c r="Q37" s="369">
        <v>106889</v>
      </c>
      <c r="R37" s="370">
        <v>9.3279274070000007</v>
      </c>
      <c r="S37" s="369">
        <v>109607</v>
      </c>
      <c r="T37" s="370">
        <v>9.2353983020000001</v>
      </c>
      <c r="U37" s="369">
        <v>121415</v>
      </c>
      <c r="V37" s="370">
        <v>9.8214321830000006</v>
      </c>
      <c r="W37" s="369">
        <v>139396</v>
      </c>
      <c r="X37" s="370">
        <v>10.467624900000001</v>
      </c>
      <c r="Y37" s="369">
        <v>146435</v>
      </c>
      <c r="Z37" s="370">
        <v>10.071854862</v>
      </c>
      <c r="AA37" s="369">
        <v>150635</v>
      </c>
      <c r="AB37" s="370">
        <v>9.6487974790000006</v>
      </c>
      <c r="AC37" s="369">
        <v>163305</v>
      </c>
      <c r="AD37" s="370">
        <v>9.8057347079999992</v>
      </c>
      <c r="AE37" s="369">
        <v>167775</v>
      </c>
      <c r="AF37" s="370">
        <v>9.4358298890000007</v>
      </c>
      <c r="AG37" s="369">
        <v>194260</v>
      </c>
      <c r="AH37" s="370">
        <v>10.338863076000001</v>
      </c>
      <c r="AI37" s="369">
        <v>193497</v>
      </c>
      <c r="AJ37" s="370">
        <v>9.7919866399999993</v>
      </c>
      <c r="AK37" s="369">
        <v>167388</v>
      </c>
      <c r="AL37" s="370">
        <v>8.1647943359999999</v>
      </c>
      <c r="AM37" s="369">
        <v>162921</v>
      </c>
      <c r="AN37" s="370">
        <v>7.8423585850000004</v>
      </c>
      <c r="AO37" s="369">
        <v>164594</v>
      </c>
      <c r="AP37" s="370">
        <v>7.9288096039999996</v>
      </c>
      <c r="AQ37" s="369">
        <v>164221</v>
      </c>
      <c r="AR37" s="370">
        <v>7.992627476</v>
      </c>
      <c r="AS37" s="271" t="s">
        <v>35</v>
      </c>
      <c r="AT37" s="456"/>
      <c r="AV37" s="268"/>
      <c r="AW37" s="269"/>
    </row>
    <row r="38" spans="1:49" s="36" customFormat="1" ht="11.85" customHeight="1">
      <c r="A38" s="450"/>
      <c r="B38" s="270" t="s">
        <v>37</v>
      </c>
      <c r="C38" s="369">
        <v>69743</v>
      </c>
      <c r="D38" s="370">
        <v>9.3074495759999998</v>
      </c>
      <c r="E38" s="369">
        <v>79926</v>
      </c>
      <c r="F38" s="370">
        <v>10.269502816999999</v>
      </c>
      <c r="G38" s="369">
        <v>82871</v>
      </c>
      <c r="H38" s="370">
        <v>9.9766748229999997</v>
      </c>
      <c r="I38" s="369">
        <v>85748</v>
      </c>
      <c r="J38" s="370">
        <v>9.8318513549999995</v>
      </c>
      <c r="K38" s="369">
        <v>81180</v>
      </c>
      <c r="L38" s="370">
        <v>9.2339348809999997</v>
      </c>
      <c r="M38" s="369">
        <v>75609</v>
      </c>
      <c r="N38" s="370">
        <v>8.6171909590000002</v>
      </c>
      <c r="O38" s="369">
        <v>75818</v>
      </c>
      <c r="P38" s="370">
        <v>8.6555613329999996</v>
      </c>
      <c r="Q38" s="369">
        <v>71261</v>
      </c>
      <c r="R38" s="370">
        <v>8.1012839549999995</v>
      </c>
      <c r="S38" s="369">
        <v>74183</v>
      </c>
      <c r="T38" s="370">
        <v>8.1697989569999994</v>
      </c>
      <c r="U38" s="369">
        <v>82725</v>
      </c>
      <c r="V38" s="370">
        <v>8.6347853719999996</v>
      </c>
      <c r="W38" s="369">
        <v>90657</v>
      </c>
      <c r="X38" s="370">
        <v>8.9680469370000004</v>
      </c>
      <c r="Y38" s="369">
        <v>90353</v>
      </c>
      <c r="Z38" s="370">
        <v>8.6142689889999993</v>
      </c>
      <c r="AA38" s="369">
        <v>90099</v>
      </c>
      <c r="AB38" s="370">
        <v>8.2865047119999993</v>
      </c>
      <c r="AC38" s="369">
        <v>94946</v>
      </c>
      <c r="AD38" s="370">
        <v>8.411091592</v>
      </c>
      <c r="AE38" s="369">
        <v>94170</v>
      </c>
      <c r="AF38" s="370">
        <v>7.9944649129999998</v>
      </c>
      <c r="AG38" s="369">
        <v>113064</v>
      </c>
      <c r="AH38" s="370">
        <v>8.8902168610000007</v>
      </c>
      <c r="AI38" s="369">
        <v>116852</v>
      </c>
      <c r="AJ38" s="370">
        <v>8.4007925439999998</v>
      </c>
      <c r="AK38" s="369">
        <v>103143</v>
      </c>
      <c r="AL38" s="370">
        <v>6.9020181489999999</v>
      </c>
      <c r="AM38" s="369">
        <v>104683</v>
      </c>
      <c r="AN38" s="370">
        <v>6.5651855699999997</v>
      </c>
      <c r="AO38" s="369">
        <v>112455</v>
      </c>
      <c r="AP38" s="370">
        <v>6.6027538339999996</v>
      </c>
      <c r="AQ38" s="369">
        <v>117857</v>
      </c>
      <c r="AR38" s="370">
        <v>6.54689459</v>
      </c>
      <c r="AS38" s="271" t="s">
        <v>37</v>
      </c>
      <c r="AT38" s="456"/>
      <c r="AV38" s="268"/>
      <c r="AW38" s="269"/>
    </row>
    <row r="39" spans="1:49" s="36" customFormat="1" ht="11.85" customHeight="1">
      <c r="A39" s="450"/>
      <c r="B39" s="270" t="s">
        <v>38</v>
      </c>
      <c r="C39" s="369">
        <v>43006</v>
      </c>
      <c r="D39" s="370">
        <v>9.315634653</v>
      </c>
      <c r="E39" s="369">
        <v>51457</v>
      </c>
      <c r="F39" s="370">
        <v>10.156621631</v>
      </c>
      <c r="G39" s="369">
        <v>53956</v>
      </c>
      <c r="H39" s="370">
        <v>9.8529885749999995</v>
      </c>
      <c r="I39" s="369">
        <v>52166</v>
      </c>
      <c r="J39" s="370">
        <v>8.8986158920000005</v>
      </c>
      <c r="K39" s="369">
        <v>53682</v>
      </c>
      <c r="L39" s="370">
        <v>8.571278028</v>
      </c>
      <c r="M39" s="369">
        <v>51417</v>
      </c>
      <c r="N39" s="370">
        <v>7.8207718860000002</v>
      </c>
      <c r="O39" s="369">
        <v>53622</v>
      </c>
      <c r="P39" s="370">
        <v>7.8069731640000004</v>
      </c>
      <c r="Q39" s="369">
        <v>51841</v>
      </c>
      <c r="R39" s="370">
        <v>7.0249731349999998</v>
      </c>
      <c r="S39" s="369">
        <v>55128</v>
      </c>
      <c r="T39" s="370">
        <v>7.0764562270000004</v>
      </c>
      <c r="U39" s="369">
        <v>58457</v>
      </c>
      <c r="V39" s="370">
        <v>7.405277323</v>
      </c>
      <c r="W39" s="369">
        <v>61248</v>
      </c>
      <c r="X39" s="370">
        <v>7.7334700359999999</v>
      </c>
      <c r="Y39" s="369">
        <v>58780</v>
      </c>
      <c r="Z39" s="370">
        <v>7.3965995519999996</v>
      </c>
      <c r="AA39" s="369">
        <v>57567</v>
      </c>
      <c r="AB39" s="370">
        <v>7.1636519979999997</v>
      </c>
      <c r="AC39" s="369">
        <v>60557</v>
      </c>
      <c r="AD39" s="370">
        <v>7.2534342030000003</v>
      </c>
      <c r="AE39" s="369">
        <v>60049</v>
      </c>
      <c r="AF39" s="370">
        <v>6.7947872189999998</v>
      </c>
      <c r="AG39" s="369">
        <v>69873</v>
      </c>
      <c r="AH39" s="370">
        <v>7.4788112120000001</v>
      </c>
      <c r="AI39" s="369">
        <v>68869</v>
      </c>
      <c r="AJ39" s="370">
        <v>7.0967509250000003</v>
      </c>
      <c r="AK39" s="369">
        <v>58108</v>
      </c>
      <c r="AL39" s="370">
        <v>5.7740252329999997</v>
      </c>
      <c r="AM39" s="369">
        <v>56572</v>
      </c>
      <c r="AN39" s="370">
        <v>5.4110926829999997</v>
      </c>
      <c r="AO39" s="369">
        <v>58885</v>
      </c>
      <c r="AP39" s="370">
        <v>5.3889596109999998</v>
      </c>
      <c r="AQ39" s="369">
        <v>65032</v>
      </c>
      <c r="AR39" s="370">
        <v>5.5021312379999996</v>
      </c>
      <c r="AS39" s="271" t="s">
        <v>38</v>
      </c>
      <c r="AT39" s="456"/>
      <c r="AV39" s="268"/>
      <c r="AW39" s="269"/>
    </row>
    <row r="40" spans="1:49" s="36" customFormat="1" ht="11.85" customHeight="1">
      <c r="A40" s="450"/>
      <c r="B40" s="270" t="s">
        <v>39</v>
      </c>
      <c r="C40" s="369">
        <v>24686</v>
      </c>
      <c r="D40" s="370">
        <v>9.8765926040000007</v>
      </c>
      <c r="E40" s="369">
        <v>27976</v>
      </c>
      <c r="F40" s="370">
        <v>10.552899350000001</v>
      </c>
      <c r="G40" s="369">
        <v>29876</v>
      </c>
      <c r="H40" s="370">
        <v>10.50322381</v>
      </c>
      <c r="I40" s="369">
        <v>27943</v>
      </c>
      <c r="J40" s="370">
        <v>9.0851601679999998</v>
      </c>
      <c r="K40" s="369">
        <v>29039</v>
      </c>
      <c r="L40" s="370">
        <v>8.6698980859999999</v>
      </c>
      <c r="M40" s="369">
        <v>28405</v>
      </c>
      <c r="N40" s="370">
        <v>7.6673806329999996</v>
      </c>
      <c r="O40" s="369">
        <v>30852</v>
      </c>
      <c r="P40" s="370">
        <v>7.5311417540000001</v>
      </c>
      <c r="Q40" s="369">
        <v>29381</v>
      </c>
      <c r="R40" s="370">
        <v>6.5977719239999999</v>
      </c>
      <c r="S40" s="369">
        <v>31476</v>
      </c>
      <c r="T40" s="370">
        <v>6.5633112650000003</v>
      </c>
      <c r="U40" s="369">
        <v>34824</v>
      </c>
      <c r="V40" s="370">
        <v>6.7483794699999997</v>
      </c>
      <c r="W40" s="369">
        <v>37749</v>
      </c>
      <c r="X40" s="370">
        <v>6.9158262109999997</v>
      </c>
      <c r="Y40" s="369">
        <v>37567</v>
      </c>
      <c r="Z40" s="370">
        <v>6.5348687529999996</v>
      </c>
      <c r="AA40" s="369">
        <v>39278</v>
      </c>
      <c r="AB40" s="370">
        <v>6.3014384310000002</v>
      </c>
      <c r="AC40" s="369">
        <v>42733</v>
      </c>
      <c r="AD40" s="370">
        <v>6.4462212760000002</v>
      </c>
      <c r="AE40" s="369">
        <v>39988</v>
      </c>
      <c r="AF40" s="370">
        <v>5.9167412649999997</v>
      </c>
      <c r="AG40" s="369">
        <v>44324</v>
      </c>
      <c r="AH40" s="370">
        <v>6.4980292899999998</v>
      </c>
      <c r="AI40" s="369">
        <v>41818</v>
      </c>
      <c r="AJ40" s="370">
        <v>6.0742952929999996</v>
      </c>
      <c r="AK40" s="369">
        <v>34623</v>
      </c>
      <c r="AL40" s="370">
        <v>4.9442322650000001</v>
      </c>
      <c r="AM40" s="369">
        <v>33645</v>
      </c>
      <c r="AN40" s="370">
        <v>4.602986435</v>
      </c>
      <c r="AO40" s="369">
        <v>35343</v>
      </c>
      <c r="AP40" s="370">
        <v>4.5533983649999996</v>
      </c>
      <c r="AQ40" s="369">
        <v>37571</v>
      </c>
      <c r="AR40" s="370">
        <v>4.5710927750000003</v>
      </c>
      <c r="AS40" s="271" t="s">
        <v>39</v>
      </c>
      <c r="AT40" s="456"/>
      <c r="AV40" s="268"/>
      <c r="AW40" s="269"/>
    </row>
    <row r="41" spans="1:49" s="36" customFormat="1" ht="20.100000000000001" customHeight="1">
      <c r="A41" s="451"/>
      <c r="B41" s="272" t="s">
        <v>165</v>
      </c>
      <c r="C41" s="371">
        <v>20604</v>
      </c>
      <c r="D41" s="372">
        <v>10.708744902999999</v>
      </c>
      <c r="E41" s="373">
        <v>23740</v>
      </c>
      <c r="F41" s="372">
        <v>11.763102803000001</v>
      </c>
      <c r="G41" s="373">
        <v>26067</v>
      </c>
      <c r="H41" s="372">
        <v>12.234036312000001</v>
      </c>
      <c r="I41" s="373">
        <v>23658</v>
      </c>
      <c r="J41" s="372">
        <v>10.426964311000001</v>
      </c>
      <c r="K41" s="373">
        <v>24602</v>
      </c>
      <c r="L41" s="372">
        <v>10.095447568999999</v>
      </c>
      <c r="M41" s="373">
        <v>23801</v>
      </c>
      <c r="N41" s="372">
        <v>9.1056555990000003</v>
      </c>
      <c r="O41" s="373">
        <v>24594</v>
      </c>
      <c r="P41" s="372">
        <v>8.8243525439999999</v>
      </c>
      <c r="Q41" s="373">
        <v>23384</v>
      </c>
      <c r="R41" s="372">
        <v>7.7817360149999999</v>
      </c>
      <c r="S41" s="373">
        <v>24823</v>
      </c>
      <c r="T41" s="372">
        <v>7.5822160179999996</v>
      </c>
      <c r="U41" s="373">
        <v>26990</v>
      </c>
      <c r="V41" s="372">
        <v>7.5015251799999998</v>
      </c>
      <c r="W41" s="373">
        <v>29740</v>
      </c>
      <c r="X41" s="372">
        <v>7.463950799</v>
      </c>
      <c r="Y41" s="373">
        <v>31162</v>
      </c>
      <c r="Z41" s="372">
        <v>7.085122879</v>
      </c>
      <c r="AA41" s="373">
        <v>31305</v>
      </c>
      <c r="AB41" s="372">
        <v>6.4857305639999998</v>
      </c>
      <c r="AC41" s="373">
        <v>34534</v>
      </c>
      <c r="AD41" s="372">
        <v>6.5499706959999999</v>
      </c>
      <c r="AE41" s="373">
        <v>34921</v>
      </c>
      <c r="AF41" s="372">
        <v>6.0498334700000003</v>
      </c>
      <c r="AG41" s="373">
        <v>39431</v>
      </c>
      <c r="AH41" s="372">
        <v>6.2810170120000004</v>
      </c>
      <c r="AI41" s="373">
        <v>40649</v>
      </c>
      <c r="AJ41" s="372">
        <v>5.9840950179999997</v>
      </c>
      <c r="AK41" s="373">
        <v>35498</v>
      </c>
      <c r="AL41" s="372">
        <v>4.7890183650000004</v>
      </c>
      <c r="AM41" s="373">
        <v>36267</v>
      </c>
      <c r="AN41" s="372">
        <v>4.5617347349999999</v>
      </c>
      <c r="AO41" s="373">
        <v>37430</v>
      </c>
      <c r="AP41" s="372">
        <v>4.4847508879999998</v>
      </c>
      <c r="AQ41" s="373">
        <v>38904</v>
      </c>
      <c r="AR41" s="374">
        <v>4.4700363139999997</v>
      </c>
      <c r="AS41" s="273" t="s">
        <v>165</v>
      </c>
      <c r="AT41" s="459"/>
      <c r="AV41" s="268"/>
      <c r="AW41" s="269"/>
    </row>
    <row r="42" spans="1:49" s="276" customFormat="1" ht="20.100000000000001" customHeight="1">
      <c r="A42" s="440" t="s">
        <v>138</v>
      </c>
      <c r="B42" s="274" t="s">
        <v>48</v>
      </c>
      <c r="C42" s="377">
        <v>4401033</v>
      </c>
      <c r="D42" s="378">
        <v>18.131108311999999</v>
      </c>
      <c r="E42" s="379">
        <v>4685388</v>
      </c>
      <c r="F42" s="378">
        <v>19.217840816999999</v>
      </c>
      <c r="G42" s="379">
        <v>4554536</v>
      </c>
      <c r="H42" s="378">
        <v>18.585219176999999</v>
      </c>
      <c r="I42" s="379">
        <v>4399763</v>
      </c>
      <c r="J42" s="378">
        <v>17.850693222</v>
      </c>
      <c r="K42" s="379">
        <v>4238578</v>
      </c>
      <c r="L42" s="378">
        <v>17.104601237000001</v>
      </c>
      <c r="M42" s="379">
        <v>4089634</v>
      </c>
      <c r="N42" s="378">
        <v>16.422486476</v>
      </c>
      <c r="O42" s="379">
        <v>4036682</v>
      </c>
      <c r="P42" s="378">
        <v>16.127576180999998</v>
      </c>
      <c r="Q42" s="379">
        <v>3717779</v>
      </c>
      <c r="R42" s="378">
        <v>14.777820074999999</v>
      </c>
      <c r="S42" s="379">
        <v>3664078</v>
      </c>
      <c r="T42" s="378">
        <v>14.49625938</v>
      </c>
      <c r="U42" s="379">
        <v>3759490</v>
      </c>
      <c r="V42" s="378">
        <v>14.807745754000001</v>
      </c>
      <c r="W42" s="379">
        <v>3815710</v>
      </c>
      <c r="X42" s="378">
        <v>14.967288732</v>
      </c>
      <c r="Y42" s="379">
        <v>3622696</v>
      </c>
      <c r="Z42" s="378">
        <v>14.159365917000001</v>
      </c>
      <c r="AA42" s="379">
        <v>3504411</v>
      </c>
      <c r="AB42" s="378">
        <v>13.660316352000001</v>
      </c>
      <c r="AC42" s="379">
        <v>3581581</v>
      </c>
      <c r="AD42" s="378">
        <v>13.936699049</v>
      </c>
      <c r="AE42" s="379">
        <v>3473020</v>
      </c>
      <c r="AF42" s="378">
        <v>13.498946404</v>
      </c>
      <c r="AG42" s="379">
        <v>3803283</v>
      </c>
      <c r="AH42" s="378">
        <v>14.773944585000001</v>
      </c>
      <c r="AI42" s="379">
        <v>3524467</v>
      </c>
      <c r="AJ42" s="378">
        <v>13.690360191</v>
      </c>
      <c r="AK42" s="379">
        <v>2991818</v>
      </c>
      <c r="AL42" s="378">
        <v>11.632666264999999</v>
      </c>
      <c r="AM42" s="379">
        <v>2979183</v>
      </c>
      <c r="AN42" s="378">
        <v>11.602669096</v>
      </c>
      <c r="AO42" s="379">
        <v>3069809</v>
      </c>
      <c r="AP42" s="378">
        <v>11.974251806</v>
      </c>
      <c r="AQ42" s="379">
        <v>2978413</v>
      </c>
      <c r="AR42" s="380">
        <v>11.634676654</v>
      </c>
      <c r="AS42" s="275" t="s">
        <v>48</v>
      </c>
      <c r="AT42" s="456" t="s">
        <v>138</v>
      </c>
      <c r="AW42" s="168"/>
    </row>
    <row r="43" spans="1:49" s="36" customFormat="1" ht="11.85" customHeight="1">
      <c r="A43" s="440"/>
      <c r="B43" s="266" t="s">
        <v>23</v>
      </c>
      <c r="C43" s="369">
        <v>291114</v>
      </c>
      <c r="D43" s="370">
        <v>24.004907947</v>
      </c>
      <c r="E43" s="369">
        <v>289073</v>
      </c>
      <c r="F43" s="370">
        <v>25.371301683999999</v>
      </c>
      <c r="G43" s="369">
        <v>268561</v>
      </c>
      <c r="H43" s="370">
        <v>24.087354903000001</v>
      </c>
      <c r="I43" s="369">
        <v>262509</v>
      </c>
      <c r="J43" s="370">
        <v>23.610151747</v>
      </c>
      <c r="K43" s="369">
        <v>255866</v>
      </c>
      <c r="L43" s="370">
        <v>23.233320227</v>
      </c>
      <c r="M43" s="369">
        <v>242417</v>
      </c>
      <c r="N43" s="370">
        <v>21.942757316000002</v>
      </c>
      <c r="O43" s="369">
        <v>244609</v>
      </c>
      <c r="P43" s="370">
        <v>21.807222685999999</v>
      </c>
      <c r="Q43" s="369">
        <v>221965</v>
      </c>
      <c r="R43" s="370">
        <v>19.676562051000001</v>
      </c>
      <c r="S43" s="369">
        <v>222511</v>
      </c>
      <c r="T43" s="370">
        <v>19.828388214</v>
      </c>
      <c r="U43" s="369">
        <v>224219</v>
      </c>
      <c r="V43" s="370">
        <v>20.077491474999999</v>
      </c>
      <c r="W43" s="369">
        <v>219172</v>
      </c>
      <c r="X43" s="370">
        <v>19.750314045</v>
      </c>
      <c r="Y43" s="369">
        <v>204206</v>
      </c>
      <c r="Z43" s="370">
        <v>18.754058132000001</v>
      </c>
      <c r="AA43" s="369">
        <v>188689</v>
      </c>
      <c r="AB43" s="370">
        <v>18.084762771000001</v>
      </c>
      <c r="AC43" s="369">
        <v>184683</v>
      </c>
      <c r="AD43" s="370">
        <v>18.708697406999999</v>
      </c>
      <c r="AE43" s="369">
        <v>164136</v>
      </c>
      <c r="AF43" s="370">
        <v>17.649573132</v>
      </c>
      <c r="AG43" s="369">
        <v>163887</v>
      </c>
      <c r="AH43" s="370">
        <v>19.113089305999999</v>
      </c>
      <c r="AI43" s="369">
        <v>132380</v>
      </c>
      <c r="AJ43" s="370">
        <v>16.955773838999999</v>
      </c>
      <c r="AK43" s="369">
        <v>105479</v>
      </c>
      <c r="AL43" s="370">
        <v>14.641889416</v>
      </c>
      <c r="AM43" s="369">
        <v>112704</v>
      </c>
      <c r="AN43" s="370">
        <v>16.737766233999999</v>
      </c>
      <c r="AO43" s="369">
        <v>112650</v>
      </c>
      <c r="AP43" s="370">
        <v>17.718086604</v>
      </c>
      <c r="AQ43" s="369">
        <v>98349</v>
      </c>
      <c r="AR43" s="370">
        <v>15.958803637000001</v>
      </c>
      <c r="AS43" s="267" t="s">
        <v>23</v>
      </c>
      <c r="AT43" s="456"/>
      <c r="AV43" s="268"/>
      <c r="AW43" s="269"/>
    </row>
    <row r="44" spans="1:49" s="36" customFormat="1" ht="11.85" customHeight="1">
      <c r="A44" s="440"/>
      <c r="B44" s="266" t="s">
        <v>24</v>
      </c>
      <c r="C44" s="369">
        <v>295232</v>
      </c>
      <c r="D44" s="370">
        <v>18.803184731000002</v>
      </c>
      <c r="E44" s="369">
        <v>298589</v>
      </c>
      <c r="F44" s="370">
        <v>19.552643142000001</v>
      </c>
      <c r="G44" s="369">
        <v>270591</v>
      </c>
      <c r="H44" s="370">
        <v>18.602126734999999</v>
      </c>
      <c r="I44" s="369">
        <v>252550</v>
      </c>
      <c r="J44" s="370">
        <v>18.347457472999999</v>
      </c>
      <c r="K44" s="369">
        <v>229340</v>
      </c>
      <c r="L44" s="370">
        <v>17.534470288000001</v>
      </c>
      <c r="M44" s="369">
        <v>209295</v>
      </c>
      <c r="N44" s="370">
        <v>17.070980433999999</v>
      </c>
      <c r="O44" s="369">
        <v>194347</v>
      </c>
      <c r="P44" s="370">
        <v>16.856337724999999</v>
      </c>
      <c r="Q44" s="369">
        <v>174353</v>
      </c>
      <c r="R44" s="370">
        <v>15.43568428</v>
      </c>
      <c r="S44" s="369">
        <v>175589</v>
      </c>
      <c r="T44" s="370">
        <v>15.582328391000001</v>
      </c>
      <c r="U44" s="369">
        <v>173204</v>
      </c>
      <c r="V44" s="370">
        <v>15.508398696</v>
      </c>
      <c r="W44" s="369">
        <v>169685</v>
      </c>
      <c r="X44" s="370">
        <v>15.134325669000001</v>
      </c>
      <c r="Y44" s="369">
        <v>158392</v>
      </c>
      <c r="Z44" s="370">
        <v>13.915640951</v>
      </c>
      <c r="AA44" s="369">
        <v>153047</v>
      </c>
      <c r="AB44" s="370">
        <v>13.372576637</v>
      </c>
      <c r="AC44" s="369">
        <v>155428</v>
      </c>
      <c r="AD44" s="370">
        <v>13.666378850999999</v>
      </c>
      <c r="AE44" s="369">
        <v>144422</v>
      </c>
      <c r="AF44" s="370">
        <v>12.778842027</v>
      </c>
      <c r="AG44" s="369">
        <v>157975</v>
      </c>
      <c r="AH44" s="370">
        <v>14.069260214</v>
      </c>
      <c r="AI44" s="369">
        <v>139071</v>
      </c>
      <c r="AJ44" s="370">
        <v>12.623974030999999</v>
      </c>
      <c r="AK44" s="369">
        <v>111617</v>
      </c>
      <c r="AL44" s="370">
        <v>10.569051032000001</v>
      </c>
      <c r="AM44" s="369">
        <v>110853</v>
      </c>
      <c r="AN44" s="370">
        <v>11.092193798</v>
      </c>
      <c r="AO44" s="369">
        <v>108196</v>
      </c>
      <c r="AP44" s="370">
        <v>11.493077077000001</v>
      </c>
      <c r="AQ44" s="369">
        <v>93603</v>
      </c>
      <c r="AR44" s="370">
        <v>10.761055882999999</v>
      </c>
      <c r="AS44" s="267" t="s">
        <v>24</v>
      </c>
      <c r="AT44" s="456"/>
      <c r="AV44" s="268"/>
      <c r="AW44" s="269"/>
    </row>
    <row r="45" spans="1:49" s="36" customFormat="1" ht="11.85" customHeight="1">
      <c r="A45" s="440"/>
      <c r="B45" s="270" t="s">
        <v>25</v>
      </c>
      <c r="C45" s="369">
        <v>247362</v>
      </c>
      <c r="D45" s="370">
        <v>14.959948473000001</v>
      </c>
      <c r="E45" s="369">
        <v>263366</v>
      </c>
      <c r="F45" s="370">
        <v>15.799008745</v>
      </c>
      <c r="G45" s="369">
        <v>257439</v>
      </c>
      <c r="H45" s="370">
        <v>15.564998207</v>
      </c>
      <c r="I45" s="369">
        <v>252348</v>
      </c>
      <c r="J45" s="370">
        <v>15.46391184</v>
      </c>
      <c r="K45" s="369">
        <v>233998</v>
      </c>
      <c r="L45" s="370">
        <v>14.623933584</v>
      </c>
      <c r="M45" s="369">
        <v>219256</v>
      </c>
      <c r="N45" s="370">
        <v>13.990024443999999</v>
      </c>
      <c r="O45" s="369">
        <v>208254</v>
      </c>
      <c r="P45" s="370">
        <v>13.659573882</v>
      </c>
      <c r="Q45" s="369">
        <v>178821</v>
      </c>
      <c r="R45" s="370">
        <v>12.30984114</v>
      </c>
      <c r="S45" s="369">
        <v>162579</v>
      </c>
      <c r="T45" s="370">
        <v>11.821674706</v>
      </c>
      <c r="U45" s="369">
        <v>155239</v>
      </c>
      <c r="V45" s="370">
        <v>11.873136206</v>
      </c>
      <c r="W45" s="369">
        <v>146175</v>
      </c>
      <c r="X45" s="370">
        <v>11.920625393</v>
      </c>
      <c r="Y45" s="369">
        <v>124593</v>
      </c>
      <c r="Z45" s="370">
        <v>10.801450214999999</v>
      </c>
      <c r="AA45" s="369">
        <v>116105</v>
      </c>
      <c r="AB45" s="370">
        <v>10.272269782</v>
      </c>
      <c r="AC45" s="369">
        <v>118658</v>
      </c>
      <c r="AD45" s="370">
        <v>10.521835438</v>
      </c>
      <c r="AE45" s="369">
        <v>113310</v>
      </c>
      <c r="AF45" s="370">
        <v>10.138345332</v>
      </c>
      <c r="AG45" s="369">
        <v>118737</v>
      </c>
      <c r="AH45" s="370">
        <v>10.582544865999999</v>
      </c>
      <c r="AI45" s="369">
        <v>108326</v>
      </c>
      <c r="AJ45" s="370">
        <v>9.5098218239999994</v>
      </c>
      <c r="AK45" s="369">
        <v>91202</v>
      </c>
      <c r="AL45" s="370">
        <v>7.9625349989999998</v>
      </c>
      <c r="AM45" s="369">
        <v>93870</v>
      </c>
      <c r="AN45" s="370">
        <v>8.2466673339999996</v>
      </c>
      <c r="AO45" s="369">
        <v>99155</v>
      </c>
      <c r="AP45" s="370">
        <v>8.7644088369999995</v>
      </c>
      <c r="AQ45" s="369">
        <v>93193</v>
      </c>
      <c r="AR45" s="370">
        <v>8.2890830270000002</v>
      </c>
      <c r="AS45" s="271" t="s">
        <v>25</v>
      </c>
      <c r="AT45" s="456"/>
      <c r="AV45" s="268"/>
      <c r="AW45" s="269"/>
    </row>
    <row r="46" spans="1:49" s="36" customFormat="1" ht="11.85" customHeight="1">
      <c r="A46" s="440"/>
      <c r="B46" s="270" t="s">
        <v>26</v>
      </c>
      <c r="C46" s="369">
        <v>215116</v>
      </c>
      <c r="D46" s="370">
        <v>14.432598204</v>
      </c>
      <c r="E46" s="369">
        <v>228675</v>
      </c>
      <c r="F46" s="370">
        <v>15.246087554000001</v>
      </c>
      <c r="G46" s="369">
        <v>231493</v>
      </c>
      <c r="H46" s="370">
        <v>15.039210323000001</v>
      </c>
      <c r="I46" s="369">
        <v>232734</v>
      </c>
      <c r="J46" s="370">
        <v>14.733151776</v>
      </c>
      <c r="K46" s="369">
        <v>232089</v>
      </c>
      <c r="L46" s="370">
        <v>14.375437834</v>
      </c>
      <c r="M46" s="369">
        <v>227743</v>
      </c>
      <c r="N46" s="370">
        <v>13.81541672</v>
      </c>
      <c r="O46" s="369">
        <v>233193</v>
      </c>
      <c r="P46" s="370">
        <v>14.029186638000001</v>
      </c>
      <c r="Q46" s="369">
        <v>210484</v>
      </c>
      <c r="R46" s="370">
        <v>12.761958349</v>
      </c>
      <c r="S46" s="369">
        <v>204036</v>
      </c>
      <c r="T46" s="370">
        <v>12.537382767</v>
      </c>
      <c r="U46" s="369">
        <v>202881</v>
      </c>
      <c r="V46" s="370">
        <v>12.707256028</v>
      </c>
      <c r="W46" s="369">
        <v>202769</v>
      </c>
      <c r="X46" s="370">
        <v>12.95929278</v>
      </c>
      <c r="Y46" s="369">
        <v>185459</v>
      </c>
      <c r="Z46" s="370">
        <v>12.179319212999999</v>
      </c>
      <c r="AA46" s="369">
        <v>173558</v>
      </c>
      <c r="AB46" s="370">
        <v>11.95773269</v>
      </c>
      <c r="AC46" s="369">
        <v>166795</v>
      </c>
      <c r="AD46" s="370">
        <v>12.136582853</v>
      </c>
      <c r="AE46" s="369">
        <v>160294</v>
      </c>
      <c r="AF46" s="370">
        <v>12.270305896</v>
      </c>
      <c r="AG46" s="369">
        <v>157871</v>
      </c>
      <c r="AH46" s="370">
        <v>12.886302991999999</v>
      </c>
      <c r="AI46" s="369">
        <v>138906</v>
      </c>
      <c r="AJ46" s="370">
        <v>12.051985281</v>
      </c>
      <c r="AK46" s="369">
        <v>125378</v>
      </c>
      <c r="AL46" s="370">
        <v>11.099720245</v>
      </c>
      <c r="AM46" s="369">
        <v>124856</v>
      </c>
      <c r="AN46" s="370">
        <v>11.07636514</v>
      </c>
      <c r="AO46" s="369">
        <v>129900</v>
      </c>
      <c r="AP46" s="370">
        <v>11.626710106000001</v>
      </c>
      <c r="AQ46" s="369">
        <v>130102</v>
      </c>
      <c r="AR46" s="370">
        <v>11.599616978</v>
      </c>
      <c r="AS46" s="271" t="s">
        <v>26</v>
      </c>
      <c r="AT46" s="456"/>
      <c r="AV46" s="268"/>
      <c r="AW46" s="269"/>
    </row>
    <row r="47" spans="1:49" s="36" customFormat="1" ht="11.85" customHeight="1">
      <c r="A47" s="440"/>
      <c r="B47" s="270" t="s">
        <v>27</v>
      </c>
      <c r="C47" s="369">
        <v>423845</v>
      </c>
      <c r="D47" s="370">
        <v>22.990298235000001</v>
      </c>
      <c r="E47" s="369">
        <v>419009</v>
      </c>
      <c r="F47" s="370">
        <v>24.067352676999999</v>
      </c>
      <c r="G47" s="369">
        <v>380083</v>
      </c>
      <c r="H47" s="370">
        <v>23.260665746000001</v>
      </c>
      <c r="I47" s="369">
        <v>336716</v>
      </c>
      <c r="J47" s="370">
        <v>21.739531850999999</v>
      </c>
      <c r="K47" s="369">
        <v>305428</v>
      </c>
      <c r="L47" s="370">
        <v>20.281013028</v>
      </c>
      <c r="M47" s="369">
        <v>293607</v>
      </c>
      <c r="N47" s="370">
        <v>19.718401612000001</v>
      </c>
      <c r="O47" s="369">
        <v>290449</v>
      </c>
      <c r="P47" s="370">
        <v>19.373069439999998</v>
      </c>
      <c r="Q47" s="369">
        <v>281909</v>
      </c>
      <c r="R47" s="370">
        <v>18.320971351000001</v>
      </c>
      <c r="S47" s="369">
        <v>281809</v>
      </c>
      <c r="T47" s="370">
        <v>17.854364232999998</v>
      </c>
      <c r="U47" s="369">
        <v>301662</v>
      </c>
      <c r="V47" s="370">
        <v>18.700820472</v>
      </c>
      <c r="W47" s="369">
        <v>321371</v>
      </c>
      <c r="X47" s="370">
        <v>19.511666467000001</v>
      </c>
      <c r="Y47" s="369">
        <v>318836</v>
      </c>
      <c r="Z47" s="370">
        <v>19.201158202999999</v>
      </c>
      <c r="AA47" s="369">
        <v>313529</v>
      </c>
      <c r="AB47" s="370">
        <v>19.028709147000001</v>
      </c>
      <c r="AC47" s="369">
        <v>326157</v>
      </c>
      <c r="AD47" s="370">
        <v>20.061002838</v>
      </c>
      <c r="AE47" s="369">
        <v>335406</v>
      </c>
      <c r="AF47" s="370">
        <v>21.033640052999999</v>
      </c>
      <c r="AG47" s="369">
        <v>379969</v>
      </c>
      <c r="AH47" s="370">
        <v>24.317409037000001</v>
      </c>
      <c r="AI47" s="369">
        <v>364794</v>
      </c>
      <c r="AJ47" s="370">
        <v>23.988415929999999</v>
      </c>
      <c r="AK47" s="369">
        <v>325171</v>
      </c>
      <c r="AL47" s="370">
        <v>22.434049258999998</v>
      </c>
      <c r="AM47" s="369">
        <v>303042</v>
      </c>
      <c r="AN47" s="370">
        <v>22.081815267</v>
      </c>
      <c r="AO47" s="369">
        <v>307667</v>
      </c>
      <c r="AP47" s="370">
        <v>23.585178302999999</v>
      </c>
      <c r="AQ47" s="369">
        <v>296550</v>
      </c>
      <c r="AR47" s="370">
        <v>24.242835467999999</v>
      </c>
      <c r="AS47" s="271" t="s">
        <v>27</v>
      </c>
      <c r="AT47" s="456"/>
      <c r="AV47" s="268"/>
      <c r="AW47" s="269"/>
    </row>
    <row r="48" spans="1:49" s="36" customFormat="1" ht="11.85" customHeight="1">
      <c r="A48" s="440"/>
      <c r="B48" s="270" t="s">
        <v>28</v>
      </c>
      <c r="C48" s="369">
        <v>588851</v>
      </c>
      <c r="D48" s="370">
        <v>30.903221676000001</v>
      </c>
      <c r="E48" s="369">
        <v>627979</v>
      </c>
      <c r="F48" s="370">
        <v>32.495729617999999</v>
      </c>
      <c r="G48" s="369">
        <v>620845</v>
      </c>
      <c r="H48" s="370">
        <v>31.708185308000001</v>
      </c>
      <c r="I48" s="369">
        <v>588342</v>
      </c>
      <c r="J48" s="370">
        <v>29.808560925999998</v>
      </c>
      <c r="K48" s="369">
        <v>546628</v>
      </c>
      <c r="L48" s="370">
        <v>28.194955084</v>
      </c>
      <c r="M48" s="369">
        <v>511113</v>
      </c>
      <c r="N48" s="370">
        <v>27.660997686000002</v>
      </c>
      <c r="O48" s="369">
        <v>472225</v>
      </c>
      <c r="P48" s="370">
        <v>27.034260476</v>
      </c>
      <c r="Q48" s="369">
        <v>421460</v>
      </c>
      <c r="R48" s="370">
        <v>25.663461931000001</v>
      </c>
      <c r="S48" s="369">
        <v>386922</v>
      </c>
      <c r="T48" s="370">
        <v>24.820496241000001</v>
      </c>
      <c r="U48" s="369">
        <v>384170</v>
      </c>
      <c r="V48" s="370">
        <v>25.323089052</v>
      </c>
      <c r="W48" s="369">
        <v>389010</v>
      </c>
      <c r="X48" s="370">
        <v>25.937181628000001</v>
      </c>
      <c r="Y48" s="369">
        <v>380742</v>
      </c>
      <c r="Z48" s="370">
        <v>25.236161079999999</v>
      </c>
      <c r="AA48" s="369">
        <v>385287</v>
      </c>
      <c r="AB48" s="370">
        <v>24.906717865000001</v>
      </c>
      <c r="AC48" s="369">
        <v>415687</v>
      </c>
      <c r="AD48" s="370">
        <v>26.212252105000001</v>
      </c>
      <c r="AE48" s="369">
        <v>429406</v>
      </c>
      <c r="AF48" s="370">
        <v>26.513695361</v>
      </c>
      <c r="AG48" s="369">
        <v>482800</v>
      </c>
      <c r="AH48" s="370">
        <v>29.217240593</v>
      </c>
      <c r="AI48" s="369">
        <v>468952</v>
      </c>
      <c r="AJ48" s="370">
        <v>28.164574827999999</v>
      </c>
      <c r="AK48" s="369">
        <v>412506</v>
      </c>
      <c r="AL48" s="370">
        <v>24.982603276999999</v>
      </c>
      <c r="AM48" s="369">
        <v>402030</v>
      </c>
      <c r="AN48" s="370">
        <v>24.692321016000001</v>
      </c>
      <c r="AO48" s="369">
        <v>411823</v>
      </c>
      <c r="AP48" s="370">
        <v>25.799954392</v>
      </c>
      <c r="AQ48" s="369">
        <v>404909</v>
      </c>
      <c r="AR48" s="370">
        <v>25.896673992</v>
      </c>
      <c r="AS48" s="271" t="s">
        <v>28</v>
      </c>
      <c r="AT48" s="456"/>
      <c r="AV48" s="268"/>
      <c r="AW48" s="269"/>
    </row>
    <row r="49" spans="1:49" s="36" customFormat="1" ht="11.85" customHeight="1">
      <c r="A49" s="440"/>
      <c r="B49" s="270" t="s">
        <v>29</v>
      </c>
      <c r="C49" s="369">
        <v>557567</v>
      </c>
      <c r="D49" s="370">
        <v>25.633979721999999</v>
      </c>
      <c r="E49" s="369">
        <v>575172</v>
      </c>
      <c r="F49" s="370">
        <v>27.391373298000001</v>
      </c>
      <c r="G49" s="369">
        <v>535623</v>
      </c>
      <c r="H49" s="370">
        <v>26.381223837</v>
      </c>
      <c r="I49" s="369">
        <v>506219</v>
      </c>
      <c r="J49" s="370">
        <v>25.850686483</v>
      </c>
      <c r="K49" s="369">
        <v>483306</v>
      </c>
      <c r="L49" s="370">
        <v>25.364229061</v>
      </c>
      <c r="M49" s="369">
        <v>484153</v>
      </c>
      <c r="N49" s="370">
        <v>25.367290309000001</v>
      </c>
      <c r="O49" s="369">
        <v>492867</v>
      </c>
      <c r="P49" s="370">
        <v>25.457664307999998</v>
      </c>
      <c r="Q49" s="369">
        <v>475318</v>
      </c>
      <c r="R49" s="370">
        <v>24.222333542000001</v>
      </c>
      <c r="S49" s="369">
        <v>475378</v>
      </c>
      <c r="T49" s="370">
        <v>24.032792073</v>
      </c>
      <c r="U49" s="369">
        <v>480798</v>
      </c>
      <c r="V49" s="370">
        <v>24.740501521999999</v>
      </c>
      <c r="W49" s="369">
        <v>459691</v>
      </c>
      <c r="X49" s="370">
        <v>24.799421246000001</v>
      </c>
      <c r="Y49" s="369">
        <v>418233</v>
      </c>
      <c r="Z49" s="370">
        <v>23.855461683000001</v>
      </c>
      <c r="AA49" s="369">
        <v>385637</v>
      </c>
      <c r="AB49" s="370">
        <v>23.388183551000001</v>
      </c>
      <c r="AC49" s="369">
        <v>379003</v>
      </c>
      <c r="AD49" s="370">
        <v>24.204638057</v>
      </c>
      <c r="AE49" s="369">
        <v>362366</v>
      </c>
      <c r="AF49" s="370">
        <v>23.783960467</v>
      </c>
      <c r="AG49" s="369">
        <v>396003</v>
      </c>
      <c r="AH49" s="370">
        <v>26.283012806999999</v>
      </c>
      <c r="AI49" s="369">
        <v>371164</v>
      </c>
      <c r="AJ49" s="370">
        <v>24.483807918</v>
      </c>
      <c r="AK49" s="369">
        <v>332586</v>
      </c>
      <c r="AL49" s="370">
        <v>21.410569128999999</v>
      </c>
      <c r="AM49" s="369">
        <v>361706</v>
      </c>
      <c r="AN49" s="370">
        <v>22.733477806</v>
      </c>
      <c r="AO49" s="369">
        <v>388154</v>
      </c>
      <c r="AP49" s="370">
        <v>23.907703603000002</v>
      </c>
      <c r="AQ49" s="369">
        <v>382103</v>
      </c>
      <c r="AR49" s="370">
        <v>23.083163981999999</v>
      </c>
      <c r="AS49" s="271" t="s">
        <v>29</v>
      </c>
      <c r="AT49" s="456"/>
      <c r="AV49" s="268"/>
      <c r="AW49" s="269"/>
    </row>
    <row r="50" spans="1:49" s="36" customFormat="1" ht="11.85" customHeight="1">
      <c r="A50" s="440"/>
      <c r="B50" s="270" t="s">
        <v>30</v>
      </c>
      <c r="C50" s="369">
        <v>416770</v>
      </c>
      <c r="D50" s="370">
        <v>19.206601500000001</v>
      </c>
      <c r="E50" s="369">
        <v>460008</v>
      </c>
      <c r="F50" s="370">
        <v>20.744647747999998</v>
      </c>
      <c r="G50" s="369">
        <v>450472</v>
      </c>
      <c r="H50" s="370">
        <v>19.993803976999999</v>
      </c>
      <c r="I50" s="369">
        <v>440488</v>
      </c>
      <c r="J50" s="370">
        <v>19.610634819000001</v>
      </c>
      <c r="K50" s="369">
        <v>423356</v>
      </c>
      <c r="L50" s="370">
        <v>19.068123152999998</v>
      </c>
      <c r="M50" s="369">
        <v>406985</v>
      </c>
      <c r="N50" s="370">
        <v>18.742683406000001</v>
      </c>
      <c r="O50" s="369">
        <v>386226</v>
      </c>
      <c r="P50" s="370">
        <v>18.418420995999998</v>
      </c>
      <c r="Q50" s="369">
        <v>345714</v>
      </c>
      <c r="R50" s="370">
        <v>17.049656036999998</v>
      </c>
      <c r="S50" s="369">
        <v>337204</v>
      </c>
      <c r="T50" s="370">
        <v>17.246689693</v>
      </c>
      <c r="U50" s="369">
        <v>341735</v>
      </c>
      <c r="V50" s="370">
        <v>17.959302723</v>
      </c>
      <c r="W50" s="369">
        <v>349903</v>
      </c>
      <c r="X50" s="370">
        <v>18.348377056</v>
      </c>
      <c r="Y50" s="369">
        <v>339688</v>
      </c>
      <c r="Z50" s="370">
        <v>17.554708595000001</v>
      </c>
      <c r="AA50" s="369">
        <v>341059</v>
      </c>
      <c r="AB50" s="370">
        <v>17.387432029999999</v>
      </c>
      <c r="AC50" s="369">
        <v>353553</v>
      </c>
      <c r="AD50" s="370">
        <v>17.881327257999999</v>
      </c>
      <c r="AE50" s="369">
        <v>335239</v>
      </c>
      <c r="AF50" s="370">
        <v>17.262919936999999</v>
      </c>
      <c r="AG50" s="369">
        <v>354688</v>
      </c>
      <c r="AH50" s="370">
        <v>19.142296785999999</v>
      </c>
      <c r="AI50" s="369">
        <v>305819</v>
      </c>
      <c r="AJ50" s="370">
        <v>17.437606554999999</v>
      </c>
      <c r="AK50" s="369">
        <v>244856</v>
      </c>
      <c r="AL50" s="370">
        <v>14.838399637</v>
      </c>
      <c r="AM50" s="369">
        <v>248073</v>
      </c>
      <c r="AN50" s="370">
        <v>15.827745274</v>
      </c>
      <c r="AO50" s="369">
        <v>252696</v>
      </c>
      <c r="AP50" s="370">
        <v>16.567426626</v>
      </c>
      <c r="AQ50" s="369">
        <v>242742</v>
      </c>
      <c r="AR50" s="370">
        <v>16.092051557000001</v>
      </c>
      <c r="AS50" s="271" t="s">
        <v>30</v>
      </c>
      <c r="AT50" s="456"/>
      <c r="AV50" s="268"/>
      <c r="AW50" s="269"/>
    </row>
    <row r="51" spans="1:49" s="36" customFormat="1" ht="11.85" customHeight="1">
      <c r="A51" s="440"/>
      <c r="B51" s="270" t="s">
        <v>31</v>
      </c>
      <c r="C51" s="369">
        <v>344309</v>
      </c>
      <c r="D51" s="370">
        <v>16.235001995000001</v>
      </c>
      <c r="E51" s="369">
        <v>357812</v>
      </c>
      <c r="F51" s="370">
        <v>17.342305664000001</v>
      </c>
      <c r="G51" s="369">
        <v>346502</v>
      </c>
      <c r="H51" s="370">
        <v>17.071082295</v>
      </c>
      <c r="I51" s="369">
        <v>343129</v>
      </c>
      <c r="J51" s="370">
        <v>16.587546904</v>
      </c>
      <c r="K51" s="369">
        <v>345844</v>
      </c>
      <c r="L51" s="370">
        <v>16.242702164000001</v>
      </c>
      <c r="M51" s="369">
        <v>338742</v>
      </c>
      <c r="N51" s="370">
        <v>15.640834555</v>
      </c>
      <c r="O51" s="369">
        <v>340461</v>
      </c>
      <c r="P51" s="370">
        <v>15.377767299</v>
      </c>
      <c r="Q51" s="369">
        <v>315855</v>
      </c>
      <c r="R51" s="370">
        <v>14.044810172</v>
      </c>
      <c r="S51" s="369">
        <v>311753</v>
      </c>
      <c r="T51" s="370">
        <v>13.914569160999999</v>
      </c>
      <c r="U51" s="369">
        <v>316552</v>
      </c>
      <c r="V51" s="370">
        <v>14.298368086</v>
      </c>
      <c r="W51" s="369">
        <v>315379</v>
      </c>
      <c r="X51" s="370">
        <v>14.563304953999999</v>
      </c>
      <c r="Y51" s="369">
        <v>281795</v>
      </c>
      <c r="Z51" s="370">
        <v>13.473228535000001</v>
      </c>
      <c r="AA51" s="369">
        <v>265057</v>
      </c>
      <c r="AB51" s="370">
        <v>13.104422756</v>
      </c>
      <c r="AC51" s="369">
        <v>260817</v>
      </c>
      <c r="AD51" s="370">
        <v>13.372179169000001</v>
      </c>
      <c r="AE51" s="369">
        <v>247005</v>
      </c>
      <c r="AF51" s="370">
        <v>13.017940149999999</v>
      </c>
      <c r="AG51" s="369">
        <v>273816</v>
      </c>
      <c r="AH51" s="370">
        <v>14.40062101</v>
      </c>
      <c r="AI51" s="369">
        <v>252462</v>
      </c>
      <c r="AJ51" s="370">
        <v>13.082857788</v>
      </c>
      <c r="AK51" s="369">
        <v>217883</v>
      </c>
      <c r="AL51" s="370">
        <v>11.138836829000001</v>
      </c>
      <c r="AM51" s="369">
        <v>225996</v>
      </c>
      <c r="AN51" s="370">
        <v>11.463330136</v>
      </c>
      <c r="AO51" s="369">
        <v>230917</v>
      </c>
      <c r="AP51" s="370">
        <v>11.924328176</v>
      </c>
      <c r="AQ51" s="369">
        <v>213708</v>
      </c>
      <c r="AR51" s="370">
        <v>11.56408547</v>
      </c>
      <c r="AS51" s="271" t="s">
        <v>31</v>
      </c>
      <c r="AT51" s="456"/>
      <c r="AV51" s="268"/>
      <c r="AW51" s="269"/>
    </row>
    <row r="52" spans="1:49" s="36" customFormat="1" ht="11.85" customHeight="1">
      <c r="A52" s="440"/>
      <c r="B52" s="270" t="s">
        <v>32</v>
      </c>
      <c r="C52" s="369">
        <v>279836</v>
      </c>
      <c r="D52" s="370">
        <v>14.242061505000001</v>
      </c>
      <c r="E52" s="369">
        <v>318426</v>
      </c>
      <c r="F52" s="370">
        <v>15.447224674999999</v>
      </c>
      <c r="G52" s="369">
        <v>313677</v>
      </c>
      <c r="H52" s="370">
        <v>14.692901923000001</v>
      </c>
      <c r="I52" s="369">
        <v>315204</v>
      </c>
      <c r="J52" s="370">
        <v>14.616455082</v>
      </c>
      <c r="K52" s="369">
        <v>302303</v>
      </c>
      <c r="L52" s="370">
        <v>14.081871552000001</v>
      </c>
      <c r="M52" s="369">
        <v>292547</v>
      </c>
      <c r="N52" s="370">
        <v>13.826818679000001</v>
      </c>
      <c r="O52" s="369">
        <v>279097</v>
      </c>
      <c r="P52" s="370">
        <v>13.548345443000001</v>
      </c>
      <c r="Q52" s="369">
        <v>252937</v>
      </c>
      <c r="R52" s="370">
        <v>12.480959328999999</v>
      </c>
      <c r="S52" s="369">
        <v>251651</v>
      </c>
      <c r="T52" s="370">
        <v>12.196051044000001</v>
      </c>
      <c r="U52" s="369">
        <v>270691</v>
      </c>
      <c r="V52" s="370">
        <v>12.753428038999999</v>
      </c>
      <c r="W52" s="369">
        <v>282467</v>
      </c>
      <c r="X52" s="370">
        <v>13.086772892999999</v>
      </c>
      <c r="Y52" s="369">
        <v>269683</v>
      </c>
      <c r="Z52" s="370">
        <v>12.224312367</v>
      </c>
      <c r="AA52" s="369">
        <v>263256</v>
      </c>
      <c r="AB52" s="370">
        <v>11.747129882999999</v>
      </c>
      <c r="AC52" s="369">
        <v>265324</v>
      </c>
      <c r="AD52" s="370">
        <v>11.884714808</v>
      </c>
      <c r="AE52" s="369">
        <v>253845</v>
      </c>
      <c r="AF52" s="370">
        <v>11.513821847999999</v>
      </c>
      <c r="AG52" s="369">
        <v>269092</v>
      </c>
      <c r="AH52" s="370">
        <v>12.480682427</v>
      </c>
      <c r="AI52" s="369">
        <v>234331</v>
      </c>
      <c r="AJ52" s="370">
        <v>11.252740182</v>
      </c>
      <c r="AK52" s="369">
        <v>189441</v>
      </c>
      <c r="AL52" s="370">
        <v>9.4092573210000001</v>
      </c>
      <c r="AM52" s="369">
        <v>182857</v>
      </c>
      <c r="AN52" s="370">
        <v>9.4216993240000004</v>
      </c>
      <c r="AO52" s="369">
        <v>184888</v>
      </c>
      <c r="AP52" s="370">
        <v>9.7936006399999993</v>
      </c>
      <c r="AQ52" s="369">
        <v>182301</v>
      </c>
      <c r="AR52" s="370">
        <v>9.6376771370000007</v>
      </c>
      <c r="AS52" s="271" t="s">
        <v>32</v>
      </c>
      <c r="AT52" s="456"/>
      <c r="AV52" s="268"/>
      <c r="AW52" s="269"/>
    </row>
    <row r="53" spans="1:49" s="36" customFormat="1" ht="11.85" customHeight="1">
      <c r="A53" s="440"/>
      <c r="B53" s="270" t="s">
        <v>33</v>
      </c>
      <c r="C53" s="369">
        <v>178754</v>
      </c>
      <c r="D53" s="370">
        <v>12.695064624</v>
      </c>
      <c r="E53" s="369">
        <v>211961</v>
      </c>
      <c r="F53" s="370">
        <v>13.793069790000001</v>
      </c>
      <c r="G53" s="369">
        <v>218404</v>
      </c>
      <c r="H53" s="370">
        <v>13.309582906999999</v>
      </c>
      <c r="I53" s="369">
        <v>232475</v>
      </c>
      <c r="J53" s="370">
        <v>13.370460241</v>
      </c>
      <c r="K53" s="369">
        <v>240974</v>
      </c>
      <c r="L53" s="370">
        <v>12.995962727</v>
      </c>
      <c r="M53" s="369">
        <v>249034</v>
      </c>
      <c r="N53" s="370">
        <v>12.716657926</v>
      </c>
      <c r="O53" s="369">
        <v>261547</v>
      </c>
      <c r="P53" s="370">
        <v>12.723397797000001</v>
      </c>
      <c r="Q53" s="369">
        <v>243017</v>
      </c>
      <c r="R53" s="370">
        <v>11.415905425</v>
      </c>
      <c r="S53" s="369">
        <v>241949</v>
      </c>
      <c r="T53" s="370">
        <v>11.260114133</v>
      </c>
      <c r="U53" s="369">
        <v>250946</v>
      </c>
      <c r="V53" s="370">
        <v>11.74020219</v>
      </c>
      <c r="W53" s="369">
        <v>257194</v>
      </c>
      <c r="X53" s="370">
        <v>12.21044036</v>
      </c>
      <c r="Y53" s="369">
        <v>234460</v>
      </c>
      <c r="Z53" s="370">
        <v>11.432332935</v>
      </c>
      <c r="AA53" s="369">
        <v>222692</v>
      </c>
      <c r="AB53" s="370">
        <v>11.037338969</v>
      </c>
      <c r="AC53" s="369">
        <v>226562</v>
      </c>
      <c r="AD53" s="370">
        <v>11.029562822999999</v>
      </c>
      <c r="AE53" s="369">
        <v>225100</v>
      </c>
      <c r="AF53" s="370">
        <v>10.658764691</v>
      </c>
      <c r="AG53" s="369">
        <v>250814</v>
      </c>
      <c r="AH53" s="370">
        <v>11.681665373</v>
      </c>
      <c r="AI53" s="369">
        <v>236276</v>
      </c>
      <c r="AJ53" s="370">
        <v>10.766264040999999</v>
      </c>
      <c r="AK53" s="369">
        <v>200147</v>
      </c>
      <c r="AL53" s="370">
        <v>8.9807392450000005</v>
      </c>
      <c r="AM53" s="369">
        <v>195135</v>
      </c>
      <c r="AN53" s="370">
        <v>8.7933307050000007</v>
      </c>
      <c r="AO53" s="369">
        <v>199275</v>
      </c>
      <c r="AP53" s="370">
        <v>9.0956311299999992</v>
      </c>
      <c r="AQ53" s="369">
        <v>190225</v>
      </c>
      <c r="AR53" s="370">
        <v>8.8816353130000003</v>
      </c>
      <c r="AS53" s="271" t="s">
        <v>33</v>
      </c>
      <c r="AT53" s="456"/>
      <c r="AV53" s="268"/>
      <c r="AW53" s="269"/>
    </row>
    <row r="54" spans="1:49" s="36" customFormat="1" ht="11.85" customHeight="1">
      <c r="A54" s="440"/>
      <c r="B54" s="270" t="s">
        <v>34</v>
      </c>
      <c r="C54" s="369">
        <v>136000</v>
      </c>
      <c r="D54" s="370">
        <v>11.993262608</v>
      </c>
      <c r="E54" s="369">
        <v>154322</v>
      </c>
      <c r="F54" s="370">
        <v>13.167293794000001</v>
      </c>
      <c r="G54" s="369">
        <v>154766</v>
      </c>
      <c r="H54" s="370">
        <v>12.800363915</v>
      </c>
      <c r="I54" s="369">
        <v>160850</v>
      </c>
      <c r="J54" s="370">
        <v>12.859780029</v>
      </c>
      <c r="K54" s="369">
        <v>160166</v>
      </c>
      <c r="L54" s="370">
        <v>12.321598916999999</v>
      </c>
      <c r="M54" s="369">
        <v>166921</v>
      </c>
      <c r="N54" s="370">
        <v>11.931732484999999</v>
      </c>
      <c r="O54" s="369">
        <v>180960</v>
      </c>
      <c r="P54" s="370">
        <v>11.843404743000001</v>
      </c>
      <c r="Q54" s="369">
        <v>173879</v>
      </c>
      <c r="R54" s="370">
        <v>10.655016429</v>
      </c>
      <c r="S54" s="369">
        <v>180540</v>
      </c>
      <c r="T54" s="370">
        <v>10.445716296000001</v>
      </c>
      <c r="U54" s="369">
        <v>200762</v>
      </c>
      <c r="V54" s="370">
        <v>10.898220236</v>
      </c>
      <c r="W54" s="369">
        <v>221370</v>
      </c>
      <c r="X54" s="370">
        <v>11.380408547</v>
      </c>
      <c r="Y54" s="369">
        <v>223586</v>
      </c>
      <c r="Z54" s="370">
        <v>10.952120171000001</v>
      </c>
      <c r="AA54" s="369">
        <v>216521</v>
      </c>
      <c r="AB54" s="370">
        <v>10.24221797</v>
      </c>
      <c r="AC54" s="369">
        <v>221907</v>
      </c>
      <c r="AD54" s="370">
        <v>10.397232989999999</v>
      </c>
      <c r="AE54" s="369">
        <v>206430</v>
      </c>
      <c r="AF54" s="370">
        <v>9.7235182150000004</v>
      </c>
      <c r="AG54" s="369">
        <v>225722</v>
      </c>
      <c r="AH54" s="370">
        <v>10.789100103999999</v>
      </c>
      <c r="AI54" s="369">
        <v>204437</v>
      </c>
      <c r="AJ54" s="370">
        <v>10.034067445</v>
      </c>
      <c r="AK54" s="369">
        <v>165877</v>
      </c>
      <c r="AL54" s="370">
        <v>8.2775680240000007</v>
      </c>
      <c r="AM54" s="369">
        <v>161042</v>
      </c>
      <c r="AN54" s="370">
        <v>7.8976728539999996</v>
      </c>
      <c r="AO54" s="369">
        <v>172827</v>
      </c>
      <c r="AP54" s="370">
        <v>8.2460980290000006</v>
      </c>
      <c r="AQ54" s="369">
        <v>170709</v>
      </c>
      <c r="AR54" s="370">
        <v>8.0133633510000006</v>
      </c>
      <c r="AS54" s="271" t="s">
        <v>34</v>
      </c>
      <c r="AT54" s="456"/>
      <c r="AV54" s="268"/>
      <c r="AW54" s="269"/>
    </row>
    <row r="55" spans="1:49" s="36" customFormat="1" ht="11.85" customHeight="1">
      <c r="A55" s="440"/>
      <c r="B55" s="270" t="s">
        <v>35</v>
      </c>
      <c r="C55" s="369">
        <v>122918</v>
      </c>
      <c r="D55" s="370">
        <v>11.668769396</v>
      </c>
      <c r="E55" s="369">
        <v>132106</v>
      </c>
      <c r="F55" s="370">
        <v>12.774417514</v>
      </c>
      <c r="G55" s="369">
        <v>128108</v>
      </c>
      <c r="H55" s="370">
        <v>12.559115329000001</v>
      </c>
      <c r="I55" s="369">
        <v>127514</v>
      </c>
      <c r="J55" s="370">
        <v>12.337322447</v>
      </c>
      <c r="K55" s="369">
        <v>126807</v>
      </c>
      <c r="L55" s="370">
        <v>11.833150589000001</v>
      </c>
      <c r="M55" s="369">
        <v>122797</v>
      </c>
      <c r="N55" s="370">
        <v>10.973227530000001</v>
      </c>
      <c r="O55" s="369">
        <v>125624</v>
      </c>
      <c r="P55" s="370">
        <v>10.855708873999999</v>
      </c>
      <c r="Q55" s="369">
        <v>117854</v>
      </c>
      <c r="R55" s="370">
        <v>9.8645955490000006</v>
      </c>
      <c r="S55" s="369">
        <v>119324</v>
      </c>
      <c r="T55" s="370">
        <v>9.6514060070000003</v>
      </c>
      <c r="U55" s="369">
        <v>128963</v>
      </c>
      <c r="V55" s="370">
        <v>10.036507569999999</v>
      </c>
      <c r="W55" s="369">
        <v>146255</v>
      </c>
      <c r="X55" s="370">
        <v>10.571743724999999</v>
      </c>
      <c r="Y55" s="369">
        <v>152962</v>
      </c>
      <c r="Z55" s="370">
        <v>10.119680059</v>
      </c>
      <c r="AA55" s="369">
        <v>154917</v>
      </c>
      <c r="AB55" s="370">
        <v>9.5934174950000006</v>
      </c>
      <c r="AC55" s="369">
        <v>165275</v>
      </c>
      <c r="AD55" s="370">
        <v>9.6611198890000001</v>
      </c>
      <c r="AE55" s="369">
        <v>166069</v>
      </c>
      <c r="AF55" s="370">
        <v>9.1077009810000007</v>
      </c>
      <c r="AG55" s="369">
        <v>196207</v>
      </c>
      <c r="AH55" s="370">
        <v>10.188443124000001</v>
      </c>
      <c r="AI55" s="369">
        <v>195120</v>
      </c>
      <c r="AJ55" s="370">
        <v>9.6511069440000004</v>
      </c>
      <c r="AK55" s="369">
        <v>160089</v>
      </c>
      <c r="AL55" s="370">
        <v>7.6477110469999996</v>
      </c>
      <c r="AM55" s="369">
        <v>153503</v>
      </c>
      <c r="AN55" s="370">
        <v>7.2656059559999999</v>
      </c>
      <c r="AO55" s="369">
        <v>154911</v>
      </c>
      <c r="AP55" s="370">
        <v>7.3714454570000001</v>
      </c>
      <c r="AQ55" s="369">
        <v>149548</v>
      </c>
      <c r="AR55" s="370">
        <v>7.2214989630000002</v>
      </c>
      <c r="AS55" s="271" t="s">
        <v>35</v>
      </c>
      <c r="AT55" s="456"/>
      <c r="AV55" s="268"/>
      <c r="AW55" s="269"/>
    </row>
    <row r="56" spans="1:49" s="36" customFormat="1" ht="11.85" customHeight="1">
      <c r="A56" s="440"/>
      <c r="B56" s="270" t="s">
        <v>37</v>
      </c>
      <c r="C56" s="369">
        <v>105391</v>
      </c>
      <c r="D56" s="370">
        <v>11.362218905000001</v>
      </c>
      <c r="E56" s="369">
        <v>117872</v>
      </c>
      <c r="F56" s="370">
        <v>12.401984999</v>
      </c>
      <c r="G56" s="369">
        <v>122651</v>
      </c>
      <c r="H56" s="370">
        <v>12.264817909</v>
      </c>
      <c r="I56" s="369">
        <v>121401</v>
      </c>
      <c r="J56" s="370">
        <v>11.684835442000001</v>
      </c>
      <c r="K56" s="369">
        <v>113864</v>
      </c>
      <c r="L56" s="370">
        <v>10.950651669000001</v>
      </c>
      <c r="M56" s="369">
        <v>100805</v>
      </c>
      <c r="N56" s="370">
        <v>9.8170305350000007</v>
      </c>
      <c r="O56" s="369">
        <v>96346</v>
      </c>
      <c r="P56" s="370">
        <v>9.5439799109999992</v>
      </c>
      <c r="Q56" s="369">
        <v>86851</v>
      </c>
      <c r="R56" s="370">
        <v>8.7069588200000005</v>
      </c>
      <c r="S56" s="369">
        <v>87246</v>
      </c>
      <c r="T56" s="370">
        <v>8.6192895210000007</v>
      </c>
      <c r="U56" s="369">
        <v>93821</v>
      </c>
      <c r="V56" s="370">
        <v>8.9290489839999996</v>
      </c>
      <c r="W56" s="369">
        <v>98808</v>
      </c>
      <c r="X56" s="370">
        <v>8.9940742220000001</v>
      </c>
      <c r="Y56" s="369">
        <v>99036</v>
      </c>
      <c r="Z56" s="370">
        <v>8.7106349860000005</v>
      </c>
      <c r="AA56" s="369">
        <v>97561</v>
      </c>
      <c r="AB56" s="370">
        <v>8.3044844270000002</v>
      </c>
      <c r="AC56" s="369">
        <v>102303</v>
      </c>
      <c r="AD56" s="370">
        <v>8.4058449720000006</v>
      </c>
      <c r="AE56" s="369">
        <v>98556</v>
      </c>
      <c r="AF56" s="370">
        <v>7.785449088</v>
      </c>
      <c r="AG56" s="369">
        <v>120625</v>
      </c>
      <c r="AH56" s="370">
        <v>8.8446876509999992</v>
      </c>
      <c r="AI56" s="369">
        <v>123933</v>
      </c>
      <c r="AJ56" s="370">
        <v>8.3125909260000004</v>
      </c>
      <c r="AK56" s="369">
        <v>104731</v>
      </c>
      <c r="AL56" s="370">
        <v>6.5741288249999998</v>
      </c>
      <c r="AM56" s="369">
        <v>104562</v>
      </c>
      <c r="AN56" s="370">
        <v>6.1953378250000002</v>
      </c>
      <c r="AO56" s="369">
        <v>112640</v>
      </c>
      <c r="AP56" s="370">
        <v>6.2611553229999997</v>
      </c>
      <c r="AQ56" s="369">
        <v>116960</v>
      </c>
      <c r="AR56" s="370">
        <v>6.1563046589999999</v>
      </c>
      <c r="AS56" s="271" t="s">
        <v>37</v>
      </c>
      <c r="AT56" s="456"/>
      <c r="AV56" s="268"/>
      <c r="AW56" s="269"/>
    </row>
    <row r="57" spans="1:49" s="36" customFormat="1" ht="11.85" customHeight="1">
      <c r="A57" s="440"/>
      <c r="B57" s="270" t="s">
        <v>38</v>
      </c>
      <c r="C57" s="369">
        <v>81375</v>
      </c>
      <c r="D57" s="370">
        <v>11.609112100999999</v>
      </c>
      <c r="E57" s="369">
        <v>95057</v>
      </c>
      <c r="F57" s="370">
        <v>12.792692889</v>
      </c>
      <c r="G57" s="369">
        <v>101721</v>
      </c>
      <c r="H57" s="370">
        <v>13.032039771999999</v>
      </c>
      <c r="I57" s="369">
        <v>89964</v>
      </c>
      <c r="J57" s="370">
        <v>11.031157711000001</v>
      </c>
      <c r="K57" s="369">
        <v>93094</v>
      </c>
      <c r="L57" s="370">
        <v>10.911778271999999</v>
      </c>
      <c r="M57" s="369">
        <v>83323</v>
      </c>
      <c r="N57" s="370">
        <v>9.4726993270000008</v>
      </c>
      <c r="O57" s="369">
        <v>83549</v>
      </c>
      <c r="P57" s="370">
        <v>9.2404287699999994</v>
      </c>
      <c r="Q57" s="369">
        <v>77637</v>
      </c>
      <c r="R57" s="370">
        <v>8.1355942859999999</v>
      </c>
      <c r="S57" s="369">
        <v>79250</v>
      </c>
      <c r="T57" s="370">
        <v>7.9786163019999998</v>
      </c>
      <c r="U57" s="369">
        <v>80342</v>
      </c>
      <c r="V57" s="370">
        <v>8.0689772919999996</v>
      </c>
      <c r="W57" s="369">
        <v>79392</v>
      </c>
      <c r="X57" s="370">
        <v>8.0571404209999997</v>
      </c>
      <c r="Y57" s="369">
        <v>74064</v>
      </c>
      <c r="Z57" s="370">
        <v>7.6288889160000002</v>
      </c>
      <c r="AA57" s="369">
        <v>70931</v>
      </c>
      <c r="AB57" s="370">
        <v>7.3718786490000001</v>
      </c>
      <c r="AC57" s="369">
        <v>72600</v>
      </c>
      <c r="AD57" s="370">
        <v>7.41352294</v>
      </c>
      <c r="AE57" s="369">
        <v>70253</v>
      </c>
      <c r="AF57" s="370">
        <v>6.8978213630000003</v>
      </c>
      <c r="AG57" s="369">
        <v>80454</v>
      </c>
      <c r="AH57" s="370">
        <v>7.5442434519999999</v>
      </c>
      <c r="AI57" s="369">
        <v>78530</v>
      </c>
      <c r="AJ57" s="370">
        <v>7.108672254</v>
      </c>
      <c r="AK57" s="369">
        <v>63618</v>
      </c>
      <c r="AL57" s="370">
        <v>5.5710213709999996</v>
      </c>
      <c r="AM57" s="369">
        <v>61231</v>
      </c>
      <c r="AN57" s="370">
        <v>5.1734815870000004</v>
      </c>
      <c r="AO57" s="369">
        <v>64281</v>
      </c>
      <c r="AP57" s="370">
        <v>5.2183125180000003</v>
      </c>
      <c r="AQ57" s="369">
        <v>69528</v>
      </c>
      <c r="AR57" s="370">
        <v>5.2344739889999996</v>
      </c>
      <c r="AS57" s="271" t="s">
        <v>38</v>
      </c>
      <c r="AT57" s="456"/>
      <c r="AV57" s="268"/>
      <c r="AW57" s="269"/>
    </row>
    <row r="58" spans="1:49" s="36" customFormat="1" ht="11.85" customHeight="1">
      <c r="A58" s="440"/>
      <c r="B58" s="270" t="s">
        <v>39</v>
      </c>
      <c r="C58" s="369">
        <v>57859</v>
      </c>
      <c r="D58" s="370">
        <v>12.123821856999999</v>
      </c>
      <c r="E58" s="369">
        <v>67115</v>
      </c>
      <c r="F58" s="370">
        <v>13.291072810999999</v>
      </c>
      <c r="G58" s="369">
        <v>73673</v>
      </c>
      <c r="H58" s="370">
        <v>13.832941225000001</v>
      </c>
      <c r="I58" s="369">
        <v>65116</v>
      </c>
      <c r="J58" s="370">
        <v>11.628116699</v>
      </c>
      <c r="K58" s="369">
        <v>67788</v>
      </c>
      <c r="L58" s="370">
        <v>11.473030643</v>
      </c>
      <c r="M58" s="369">
        <v>64029</v>
      </c>
      <c r="N58" s="370">
        <v>10.177501060999999</v>
      </c>
      <c r="O58" s="369">
        <v>66376</v>
      </c>
      <c r="P58" s="370">
        <v>9.8955743779999992</v>
      </c>
      <c r="Q58" s="369">
        <v>61458</v>
      </c>
      <c r="R58" s="370">
        <v>8.6813790649999998</v>
      </c>
      <c r="S58" s="369">
        <v>63388</v>
      </c>
      <c r="T58" s="370">
        <v>8.5352076639999996</v>
      </c>
      <c r="U58" s="369">
        <v>65632</v>
      </c>
      <c r="V58" s="370">
        <v>8.4111400960000005</v>
      </c>
      <c r="W58" s="369">
        <v>65422</v>
      </c>
      <c r="X58" s="370">
        <v>8.0989221780000005</v>
      </c>
      <c r="Y58" s="369">
        <v>63561</v>
      </c>
      <c r="Z58" s="370">
        <v>7.6281514689999996</v>
      </c>
      <c r="AA58" s="369">
        <v>62629</v>
      </c>
      <c r="AB58" s="370">
        <v>7.0918243419999998</v>
      </c>
      <c r="AC58" s="369">
        <v>65622</v>
      </c>
      <c r="AD58" s="370">
        <v>7.1139547749999998</v>
      </c>
      <c r="AE58" s="369">
        <v>60880</v>
      </c>
      <c r="AF58" s="370">
        <v>6.5645856350000003</v>
      </c>
      <c r="AG58" s="369">
        <v>65045</v>
      </c>
      <c r="AH58" s="370">
        <v>7.0658998769999997</v>
      </c>
      <c r="AI58" s="369">
        <v>60043</v>
      </c>
      <c r="AJ58" s="370">
        <v>6.6015559719999999</v>
      </c>
      <c r="AK58" s="369">
        <v>46591</v>
      </c>
      <c r="AL58" s="370">
        <v>5.1539400970000004</v>
      </c>
      <c r="AM58" s="369">
        <v>44473</v>
      </c>
      <c r="AN58" s="370">
        <v>4.8205869730000002</v>
      </c>
      <c r="AO58" s="369">
        <v>45537</v>
      </c>
      <c r="AP58" s="370">
        <v>4.7347103439999998</v>
      </c>
      <c r="AQ58" s="369">
        <v>46667</v>
      </c>
      <c r="AR58" s="370">
        <v>4.6277161189999996</v>
      </c>
      <c r="AS58" s="271" t="s">
        <v>39</v>
      </c>
      <c r="AT58" s="456"/>
      <c r="AV58" s="268"/>
      <c r="AW58" s="269"/>
    </row>
    <row r="59" spans="1:49" s="36" customFormat="1" ht="11.25" customHeight="1">
      <c r="A59" s="440"/>
      <c r="B59" s="270" t="s">
        <v>165</v>
      </c>
      <c r="C59" s="369">
        <v>58734</v>
      </c>
      <c r="D59" s="370">
        <v>12.613065326999999</v>
      </c>
      <c r="E59" s="369">
        <v>68846</v>
      </c>
      <c r="F59" s="370">
        <v>14.04046172</v>
      </c>
      <c r="G59" s="369">
        <v>79927</v>
      </c>
      <c r="H59" s="370">
        <v>15.36549449</v>
      </c>
      <c r="I59" s="369">
        <v>72204</v>
      </c>
      <c r="J59" s="370">
        <v>12.938625570999999</v>
      </c>
      <c r="K59" s="369">
        <v>77727</v>
      </c>
      <c r="L59" s="370">
        <v>12.941202914</v>
      </c>
      <c r="M59" s="369">
        <v>76867</v>
      </c>
      <c r="N59" s="370">
        <v>11.900850757000001</v>
      </c>
      <c r="O59" s="369">
        <v>80552</v>
      </c>
      <c r="P59" s="370">
        <v>11.673458503999999</v>
      </c>
      <c r="Q59" s="369">
        <v>78267</v>
      </c>
      <c r="R59" s="370">
        <v>10.624114283999999</v>
      </c>
      <c r="S59" s="369">
        <v>82949</v>
      </c>
      <c r="T59" s="370">
        <v>10.521402338</v>
      </c>
      <c r="U59" s="369">
        <v>87873</v>
      </c>
      <c r="V59" s="370">
        <v>10.375406392</v>
      </c>
      <c r="W59" s="369">
        <v>91647</v>
      </c>
      <c r="X59" s="370">
        <v>10.031073814000001</v>
      </c>
      <c r="Y59" s="369">
        <v>93400</v>
      </c>
      <c r="Z59" s="370">
        <v>9.5124948249999992</v>
      </c>
      <c r="AA59" s="369">
        <v>93936</v>
      </c>
      <c r="AB59" s="370">
        <v>8.9529876650000002</v>
      </c>
      <c r="AC59" s="369">
        <v>101207</v>
      </c>
      <c r="AD59" s="370">
        <v>9.0618337839999992</v>
      </c>
      <c r="AE59" s="369">
        <v>100303</v>
      </c>
      <c r="AF59" s="370">
        <v>8.4141447360000008</v>
      </c>
      <c r="AG59" s="369">
        <v>109578</v>
      </c>
      <c r="AH59" s="370">
        <v>8.6422683879999997</v>
      </c>
      <c r="AI59" s="369">
        <v>109923</v>
      </c>
      <c r="AJ59" s="370">
        <v>8.1814122079999994</v>
      </c>
      <c r="AK59" s="369">
        <v>94646</v>
      </c>
      <c r="AL59" s="370">
        <v>6.6219911170000003</v>
      </c>
      <c r="AM59" s="369">
        <v>93250</v>
      </c>
      <c r="AN59" s="370">
        <v>6.2065913000000004</v>
      </c>
      <c r="AO59" s="369">
        <v>94292</v>
      </c>
      <c r="AP59" s="370">
        <v>6.0591261520000002</v>
      </c>
      <c r="AQ59" s="369">
        <v>97216</v>
      </c>
      <c r="AR59" s="370">
        <v>6.084373619</v>
      </c>
      <c r="AS59" s="271" t="s">
        <v>165</v>
      </c>
      <c r="AT59" s="456"/>
      <c r="AV59" s="268"/>
      <c r="AW59" s="269"/>
    </row>
    <row r="60" spans="1:49" ht="6" customHeight="1" thickBot="1">
      <c r="A60" s="441"/>
      <c r="B60" s="205"/>
      <c r="C60" s="230"/>
      <c r="D60" s="257"/>
      <c r="E60" s="230"/>
      <c r="F60" s="257"/>
      <c r="G60" s="230"/>
      <c r="H60" s="257"/>
      <c r="I60" s="230"/>
      <c r="J60" s="257"/>
      <c r="K60" s="230"/>
      <c r="L60" s="257"/>
      <c r="M60" s="230"/>
      <c r="N60" s="257"/>
      <c r="O60" s="230"/>
      <c r="P60" s="257"/>
      <c r="Q60" s="230"/>
      <c r="R60" s="257"/>
      <c r="S60" s="230"/>
      <c r="T60" s="257"/>
      <c r="U60" s="230"/>
      <c r="V60" s="262"/>
      <c r="W60" s="230"/>
      <c r="X60" s="262"/>
      <c r="Y60" s="230"/>
      <c r="Z60" s="262"/>
      <c r="AA60" s="231"/>
      <c r="AB60" s="262"/>
      <c r="AC60" s="230"/>
      <c r="AD60" s="262"/>
      <c r="AE60" s="231"/>
      <c r="AF60" s="262"/>
      <c r="AG60" s="231"/>
      <c r="AH60" s="262"/>
      <c r="AI60" s="231"/>
      <c r="AJ60" s="262"/>
      <c r="AK60" s="231"/>
      <c r="AL60" s="262"/>
      <c r="AM60" s="231"/>
      <c r="AN60" s="262"/>
      <c r="AO60" s="231"/>
      <c r="AP60" s="262"/>
      <c r="AQ60" s="231"/>
      <c r="AR60" s="264"/>
      <c r="AS60" s="206"/>
      <c r="AT60" s="457"/>
    </row>
  </sheetData>
  <mergeCells count="31">
    <mergeCell ref="AS3:AS4"/>
    <mergeCell ref="AT42:AT60"/>
    <mergeCell ref="AT5:AT23"/>
    <mergeCell ref="AT3:AT4"/>
    <mergeCell ref="AT24:AT41"/>
    <mergeCell ref="AQ3:AR3"/>
    <mergeCell ref="AG3:AH3"/>
    <mergeCell ref="AC3:AD3"/>
    <mergeCell ref="AA3:AB3"/>
    <mergeCell ref="AO3:AP3"/>
    <mergeCell ref="AI3:AJ3"/>
    <mergeCell ref="AM3:AN3"/>
    <mergeCell ref="AK3:AL3"/>
    <mergeCell ref="AE3:AF3"/>
    <mergeCell ref="I3:J3"/>
    <mergeCell ref="K3:L3"/>
    <mergeCell ref="Y3:Z3"/>
    <mergeCell ref="U3:V3"/>
    <mergeCell ref="O3:P3"/>
    <mergeCell ref="Q3:R3"/>
    <mergeCell ref="S3:T3"/>
    <mergeCell ref="M3:N3"/>
    <mergeCell ref="W3:X3"/>
    <mergeCell ref="A42:A60"/>
    <mergeCell ref="G3:H3"/>
    <mergeCell ref="B3:B4"/>
    <mergeCell ref="A5:A23"/>
    <mergeCell ref="A3:A4"/>
    <mergeCell ref="A24:A41"/>
    <mergeCell ref="E3:F3"/>
    <mergeCell ref="C3:D3"/>
  </mergeCells>
  <phoneticPr fontId="2" type="noConversion"/>
  <printOptions horizontalCentered="1"/>
  <pageMargins left="0.78740157480314965" right="0.78740157480314965" top="0.78740157480314965" bottom="0.47244094488188981" header="0.51181102362204722" footer="1.0629921259842521"/>
  <pageSetup paperSize="9" scale="95" fitToWidth="0" orientation="portrait" horizontalDpi="1200" verticalDpi="1200" r:id="rId1"/>
  <headerFooter alignWithMargins="0"/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424"/>
  <sheetViews>
    <sheetView showGridLines="0" view="pageBreakPreview" zoomScaleNormal="100" zoomScaleSheetLayoutView="100" workbookViewId="0">
      <selection activeCell="S12" sqref="S12"/>
    </sheetView>
  </sheetViews>
  <sheetFormatPr defaultRowHeight="13.5"/>
  <cols>
    <col min="1" max="1" width="3.625" customWidth="1"/>
    <col min="2" max="2" width="8.125" style="1" customWidth="1"/>
    <col min="3" max="4" width="10.625" customWidth="1"/>
    <col min="5" max="11" width="8.375" customWidth="1"/>
    <col min="12" max="12" width="10.625" customWidth="1"/>
    <col min="13" max="20" width="8.625" customWidth="1"/>
    <col min="21" max="21" width="8.125" style="1" customWidth="1"/>
    <col min="22" max="22" width="3.625" customWidth="1"/>
  </cols>
  <sheetData>
    <row r="1" spans="1:38" s="2" customFormat="1" ht="18.75">
      <c r="A1" s="66" t="str">
        <f>"3. 시도별 이동자 수 추이, "&amp;B5&amp;"-"&amp;B25</f>
        <v>3. 시도별 이동자 수 추이, 2005-2025</v>
      </c>
      <c r="C1" s="66"/>
      <c r="D1" s="66"/>
      <c r="E1" s="66"/>
      <c r="F1" s="66"/>
      <c r="G1" s="66"/>
      <c r="H1" s="66"/>
      <c r="I1" s="66"/>
      <c r="J1" s="66"/>
      <c r="K1" s="66"/>
      <c r="L1" s="469"/>
      <c r="M1" s="469"/>
      <c r="N1" s="469"/>
      <c r="O1" s="469"/>
      <c r="P1" s="34"/>
      <c r="Q1" s="34"/>
      <c r="R1" s="34"/>
      <c r="S1" s="34"/>
      <c r="T1" s="34"/>
      <c r="U1" s="34"/>
    </row>
    <row r="2" spans="1:38" s="4" customFormat="1" ht="12" customHeight="1" thickBot="1">
      <c r="B2" s="5"/>
      <c r="C2" s="37"/>
      <c r="J2" s="16"/>
      <c r="K2" s="16"/>
      <c r="U2" s="16"/>
      <c r="V2" s="16" t="s">
        <v>43</v>
      </c>
    </row>
    <row r="3" spans="1:38" s="6" customFormat="1" ht="30" customHeight="1">
      <c r="A3" s="470" t="s">
        <v>166</v>
      </c>
      <c r="B3" s="471"/>
      <c r="C3" s="12" t="s">
        <v>42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7" t="s">
        <v>12</v>
      </c>
      <c r="K3" s="17" t="s">
        <v>111</v>
      </c>
      <c r="L3" s="12" t="s">
        <v>13</v>
      </c>
      <c r="M3" s="12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7" t="s">
        <v>21</v>
      </c>
      <c r="U3" s="472" t="s">
        <v>46</v>
      </c>
      <c r="V3" s="473"/>
    </row>
    <row r="4" spans="1:38" s="6" customFormat="1" ht="5.0999999999999996" customHeight="1">
      <c r="A4" s="221"/>
      <c r="B4" s="50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26"/>
      <c r="U4" s="33"/>
      <c r="V4" s="53"/>
    </row>
    <row r="5" spans="1:38" s="44" customFormat="1" ht="10.5" customHeight="1">
      <c r="A5" s="463" t="s">
        <v>107</v>
      </c>
      <c r="B5" s="410">
        <v>2005</v>
      </c>
      <c r="C5" s="419">
        <v>8795397</v>
      </c>
      <c r="D5" s="417">
        <v>1990749</v>
      </c>
      <c r="E5" s="417">
        <v>552771</v>
      </c>
      <c r="F5" s="417">
        <v>440350</v>
      </c>
      <c r="G5" s="417">
        <v>502168</v>
      </c>
      <c r="H5" s="417">
        <v>290429</v>
      </c>
      <c r="I5" s="417">
        <v>287835</v>
      </c>
      <c r="J5" s="417">
        <v>169681</v>
      </c>
      <c r="K5" s="417" t="s">
        <v>91</v>
      </c>
      <c r="L5" s="407">
        <v>2197321</v>
      </c>
      <c r="M5" s="407">
        <v>245689</v>
      </c>
      <c r="N5" s="407">
        <v>235907</v>
      </c>
      <c r="O5" s="407">
        <v>325444</v>
      </c>
      <c r="P5" s="407">
        <v>311537</v>
      </c>
      <c r="Q5" s="407">
        <v>284412</v>
      </c>
      <c r="R5" s="407">
        <v>374711</v>
      </c>
      <c r="S5" s="407">
        <v>493352</v>
      </c>
      <c r="T5" s="413">
        <v>93041</v>
      </c>
      <c r="U5" s="410">
        <v>2005</v>
      </c>
      <c r="V5" s="465" t="s">
        <v>3</v>
      </c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</row>
    <row r="6" spans="1:38" s="44" customFormat="1" ht="10.5" customHeight="1">
      <c r="A6" s="463"/>
      <c r="B6" s="410">
        <v>2006</v>
      </c>
      <c r="C6" s="419">
        <v>9342074</v>
      </c>
      <c r="D6" s="417">
        <v>2173907</v>
      </c>
      <c r="E6" s="417">
        <v>559915</v>
      </c>
      <c r="F6" s="417">
        <v>428417</v>
      </c>
      <c r="G6" s="417">
        <v>523457</v>
      </c>
      <c r="H6" s="417">
        <v>301479</v>
      </c>
      <c r="I6" s="417">
        <v>294814</v>
      </c>
      <c r="J6" s="417">
        <v>174389</v>
      </c>
      <c r="K6" s="417" t="s">
        <v>91</v>
      </c>
      <c r="L6" s="407">
        <v>2459641</v>
      </c>
      <c r="M6" s="407">
        <v>254508</v>
      </c>
      <c r="N6" s="407">
        <v>245977</v>
      </c>
      <c r="O6" s="407">
        <v>336866</v>
      </c>
      <c r="P6" s="407">
        <v>327237</v>
      </c>
      <c r="Q6" s="407">
        <v>284276</v>
      </c>
      <c r="R6" s="407">
        <v>391486</v>
      </c>
      <c r="S6" s="407">
        <v>496713</v>
      </c>
      <c r="T6" s="413">
        <v>88992</v>
      </c>
      <c r="U6" s="410">
        <v>2006</v>
      </c>
      <c r="V6" s="465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</row>
    <row r="7" spans="1:38" s="44" customFormat="1" ht="10.5" customHeight="1">
      <c r="A7" s="463"/>
      <c r="B7" s="410">
        <v>2007</v>
      </c>
      <c r="C7" s="419">
        <v>9070102</v>
      </c>
      <c r="D7" s="417">
        <v>2078045</v>
      </c>
      <c r="E7" s="417">
        <v>529343</v>
      </c>
      <c r="F7" s="417">
        <v>399853</v>
      </c>
      <c r="G7" s="417">
        <v>576619</v>
      </c>
      <c r="H7" s="417">
        <v>286105</v>
      </c>
      <c r="I7" s="417">
        <v>283080</v>
      </c>
      <c r="J7" s="417">
        <v>180375</v>
      </c>
      <c r="K7" s="417" t="s">
        <v>91</v>
      </c>
      <c r="L7" s="407">
        <v>2306957</v>
      </c>
      <c r="M7" s="407">
        <v>245182</v>
      </c>
      <c r="N7" s="407">
        <v>253433</v>
      </c>
      <c r="O7" s="407">
        <v>355213</v>
      </c>
      <c r="P7" s="407">
        <v>332957</v>
      </c>
      <c r="Q7" s="407">
        <v>287179</v>
      </c>
      <c r="R7" s="407">
        <v>380925</v>
      </c>
      <c r="S7" s="407">
        <v>491542</v>
      </c>
      <c r="T7" s="413">
        <v>83294</v>
      </c>
      <c r="U7" s="410">
        <v>2007</v>
      </c>
      <c r="V7" s="465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</row>
    <row r="8" spans="1:38" s="44" customFormat="1" ht="10.5" customHeight="1">
      <c r="A8" s="463"/>
      <c r="B8" s="410">
        <v>2008</v>
      </c>
      <c r="C8" s="419">
        <v>8808256</v>
      </c>
      <c r="D8" s="417">
        <v>2025358</v>
      </c>
      <c r="E8" s="417">
        <v>514502</v>
      </c>
      <c r="F8" s="417">
        <v>409938</v>
      </c>
      <c r="G8" s="417">
        <v>565585</v>
      </c>
      <c r="H8" s="417">
        <v>268757</v>
      </c>
      <c r="I8" s="417">
        <v>263532</v>
      </c>
      <c r="J8" s="417">
        <v>181662</v>
      </c>
      <c r="K8" s="417" t="s">
        <v>91</v>
      </c>
      <c r="L8" s="407">
        <v>2195585</v>
      </c>
      <c r="M8" s="407">
        <v>252193</v>
      </c>
      <c r="N8" s="407">
        <v>244672</v>
      </c>
      <c r="O8" s="407">
        <v>355294</v>
      </c>
      <c r="P8" s="407">
        <v>322495</v>
      </c>
      <c r="Q8" s="407">
        <v>277906</v>
      </c>
      <c r="R8" s="407">
        <v>363297</v>
      </c>
      <c r="S8" s="407">
        <v>487356</v>
      </c>
      <c r="T8" s="413">
        <v>80124</v>
      </c>
      <c r="U8" s="410">
        <v>2008</v>
      </c>
      <c r="V8" s="465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</row>
    <row r="9" spans="1:38" s="44" customFormat="1" ht="10.5" customHeight="1">
      <c r="A9" s="463"/>
      <c r="B9" s="410">
        <v>2009</v>
      </c>
      <c r="C9" s="419">
        <v>8487275</v>
      </c>
      <c r="D9" s="417">
        <v>1873188</v>
      </c>
      <c r="E9" s="417">
        <v>519310</v>
      </c>
      <c r="F9" s="417">
        <v>398626</v>
      </c>
      <c r="G9" s="417">
        <v>478169</v>
      </c>
      <c r="H9" s="417">
        <v>293879</v>
      </c>
      <c r="I9" s="417">
        <v>252424</v>
      </c>
      <c r="J9" s="417">
        <v>159953</v>
      </c>
      <c r="K9" s="417" t="s">
        <v>91</v>
      </c>
      <c r="L9" s="407">
        <v>2175681</v>
      </c>
      <c r="M9" s="407">
        <v>249191</v>
      </c>
      <c r="N9" s="407">
        <v>232872</v>
      </c>
      <c r="O9" s="407">
        <v>329626</v>
      </c>
      <c r="P9" s="407">
        <v>314137</v>
      </c>
      <c r="Q9" s="407">
        <v>281051</v>
      </c>
      <c r="R9" s="407">
        <v>367244</v>
      </c>
      <c r="S9" s="407">
        <v>485349</v>
      </c>
      <c r="T9" s="413">
        <v>76575</v>
      </c>
      <c r="U9" s="410">
        <v>2009</v>
      </c>
      <c r="V9" s="465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</row>
    <row r="10" spans="1:38" s="44" customFormat="1" ht="10.5" customHeight="1">
      <c r="A10" s="463"/>
      <c r="B10" s="410">
        <v>2010</v>
      </c>
      <c r="C10" s="419">
        <v>8226594</v>
      </c>
      <c r="D10" s="417">
        <v>1733015</v>
      </c>
      <c r="E10" s="417">
        <v>519334</v>
      </c>
      <c r="F10" s="417">
        <v>370817</v>
      </c>
      <c r="G10" s="417">
        <v>462051</v>
      </c>
      <c r="H10" s="417">
        <v>268574</v>
      </c>
      <c r="I10" s="417">
        <v>262432</v>
      </c>
      <c r="J10" s="417">
        <v>161146</v>
      </c>
      <c r="K10" s="417" t="s">
        <v>91</v>
      </c>
      <c r="L10" s="407">
        <v>2168820</v>
      </c>
      <c r="M10" s="407">
        <v>241738</v>
      </c>
      <c r="N10" s="407">
        <v>235671</v>
      </c>
      <c r="O10" s="407">
        <v>317853</v>
      </c>
      <c r="P10" s="407">
        <v>305789</v>
      </c>
      <c r="Q10" s="407">
        <v>265600</v>
      </c>
      <c r="R10" s="407">
        <v>354575</v>
      </c>
      <c r="S10" s="407">
        <v>481955</v>
      </c>
      <c r="T10" s="413">
        <v>77224</v>
      </c>
      <c r="U10" s="410">
        <v>2010</v>
      </c>
      <c r="V10" s="465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</row>
    <row r="11" spans="1:38" s="44" customFormat="1" ht="10.5" customHeight="1">
      <c r="A11" s="463"/>
      <c r="B11" s="410">
        <v>2011</v>
      </c>
      <c r="C11" s="419">
        <v>8127195</v>
      </c>
      <c r="D11" s="417">
        <v>1721748</v>
      </c>
      <c r="E11" s="417">
        <v>508043</v>
      </c>
      <c r="F11" s="417">
        <v>370563</v>
      </c>
      <c r="G11" s="417">
        <v>499567</v>
      </c>
      <c r="H11" s="417">
        <v>260561</v>
      </c>
      <c r="I11" s="417">
        <v>264244</v>
      </c>
      <c r="J11" s="417">
        <v>164963</v>
      </c>
      <c r="K11" s="417" t="s">
        <v>91</v>
      </c>
      <c r="L11" s="407">
        <v>2062422</v>
      </c>
      <c r="M11" s="407">
        <v>236077</v>
      </c>
      <c r="N11" s="407">
        <v>228594</v>
      </c>
      <c r="O11" s="407">
        <v>321187</v>
      </c>
      <c r="P11" s="407">
        <v>308011</v>
      </c>
      <c r="Q11" s="407">
        <v>261239</v>
      </c>
      <c r="R11" s="407">
        <v>363511</v>
      </c>
      <c r="S11" s="407">
        <v>473757</v>
      </c>
      <c r="T11" s="413">
        <v>82708</v>
      </c>
      <c r="U11" s="410">
        <v>2011</v>
      </c>
      <c r="V11" s="465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</row>
    <row r="12" spans="1:38" s="44" customFormat="1" ht="10.5" customHeight="1">
      <c r="A12" s="463"/>
      <c r="B12" s="410">
        <v>2012</v>
      </c>
      <c r="C12" s="419">
        <v>7506691</v>
      </c>
      <c r="D12" s="417">
        <v>1555281</v>
      </c>
      <c r="E12" s="417">
        <v>461042</v>
      </c>
      <c r="F12" s="417">
        <v>348642</v>
      </c>
      <c r="G12" s="417">
        <v>468666</v>
      </c>
      <c r="H12" s="417">
        <v>228612</v>
      </c>
      <c r="I12" s="417">
        <v>239635</v>
      </c>
      <c r="J12" s="417">
        <v>161433</v>
      </c>
      <c r="K12" s="417">
        <v>32784</v>
      </c>
      <c r="L12" s="407">
        <v>1944962</v>
      </c>
      <c r="M12" s="407">
        <v>225896</v>
      </c>
      <c r="N12" s="407">
        <v>212263</v>
      </c>
      <c r="O12" s="407">
        <v>287195</v>
      </c>
      <c r="P12" s="407">
        <v>271835</v>
      </c>
      <c r="Q12" s="407">
        <v>239026</v>
      </c>
      <c r="R12" s="407">
        <v>335362</v>
      </c>
      <c r="S12" s="407">
        <v>414556</v>
      </c>
      <c r="T12" s="413">
        <v>79501</v>
      </c>
      <c r="U12" s="410">
        <v>2012</v>
      </c>
      <c r="V12" s="465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</row>
    <row r="13" spans="1:38" s="44" customFormat="1" ht="10.5" customHeight="1">
      <c r="A13" s="463"/>
      <c r="B13" s="410">
        <v>2013</v>
      </c>
      <c r="C13" s="419">
        <v>7411784</v>
      </c>
      <c r="D13" s="417">
        <v>1520090</v>
      </c>
      <c r="E13" s="417">
        <v>478451</v>
      </c>
      <c r="F13" s="417">
        <v>351873</v>
      </c>
      <c r="G13" s="417">
        <v>461613</v>
      </c>
      <c r="H13" s="417">
        <v>226696</v>
      </c>
      <c r="I13" s="417">
        <v>230858</v>
      </c>
      <c r="J13" s="417">
        <v>159492</v>
      </c>
      <c r="K13" s="417">
        <v>23805</v>
      </c>
      <c r="L13" s="407">
        <v>1895434</v>
      </c>
      <c r="M13" s="407">
        <v>217917</v>
      </c>
      <c r="N13" s="407">
        <v>215973</v>
      </c>
      <c r="O13" s="407">
        <v>281428</v>
      </c>
      <c r="P13" s="407">
        <v>258198</v>
      </c>
      <c r="Q13" s="407">
        <v>244329</v>
      </c>
      <c r="R13" s="407">
        <v>329118</v>
      </c>
      <c r="S13" s="407">
        <v>427658</v>
      </c>
      <c r="T13" s="413">
        <v>88851</v>
      </c>
      <c r="U13" s="410">
        <v>2013</v>
      </c>
      <c r="V13" s="465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</row>
    <row r="14" spans="1:38" s="44" customFormat="1" ht="10.5" customHeight="1">
      <c r="A14" s="463"/>
      <c r="B14" s="410">
        <v>2014</v>
      </c>
      <c r="C14" s="419">
        <v>7629098</v>
      </c>
      <c r="D14" s="417">
        <v>1573594</v>
      </c>
      <c r="E14" s="417">
        <v>485710</v>
      </c>
      <c r="F14" s="417">
        <v>350213</v>
      </c>
      <c r="G14" s="417">
        <v>452297</v>
      </c>
      <c r="H14" s="417">
        <v>243066</v>
      </c>
      <c r="I14" s="417">
        <v>239559</v>
      </c>
      <c r="J14" s="417">
        <v>176015</v>
      </c>
      <c r="K14" s="417">
        <v>56526</v>
      </c>
      <c r="L14" s="407">
        <v>1891775</v>
      </c>
      <c r="M14" s="407">
        <v>228369</v>
      </c>
      <c r="N14" s="407">
        <v>215944</v>
      </c>
      <c r="O14" s="407">
        <v>289627</v>
      </c>
      <c r="P14" s="407">
        <v>274337</v>
      </c>
      <c r="Q14" s="407">
        <v>260278</v>
      </c>
      <c r="R14" s="407">
        <v>337041</v>
      </c>
      <c r="S14" s="407">
        <v>462239</v>
      </c>
      <c r="T14" s="413">
        <v>92508</v>
      </c>
      <c r="U14" s="410">
        <v>2014</v>
      </c>
      <c r="V14" s="465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</row>
    <row r="15" spans="1:38" s="44" customFormat="1" ht="10.5" customHeight="1">
      <c r="A15" s="463"/>
      <c r="B15" s="410">
        <v>2015</v>
      </c>
      <c r="C15" s="419">
        <v>7755286</v>
      </c>
      <c r="D15" s="417">
        <v>1589431</v>
      </c>
      <c r="E15" s="417">
        <v>507031</v>
      </c>
      <c r="F15" s="417">
        <v>351424</v>
      </c>
      <c r="G15" s="417">
        <v>473223</v>
      </c>
      <c r="H15" s="417">
        <v>224603</v>
      </c>
      <c r="I15" s="417">
        <v>220774</v>
      </c>
      <c r="J15" s="417">
        <v>170393</v>
      </c>
      <c r="K15" s="417">
        <v>83994</v>
      </c>
      <c r="L15" s="407">
        <v>1993080</v>
      </c>
      <c r="M15" s="407">
        <v>227125</v>
      </c>
      <c r="N15" s="407">
        <v>214626</v>
      </c>
      <c r="O15" s="407">
        <v>289952</v>
      </c>
      <c r="P15" s="407">
        <v>261832</v>
      </c>
      <c r="Q15" s="407">
        <v>250104</v>
      </c>
      <c r="R15" s="407">
        <v>344730</v>
      </c>
      <c r="S15" s="407">
        <v>455384</v>
      </c>
      <c r="T15" s="413">
        <v>97580</v>
      </c>
      <c r="U15" s="410">
        <v>2015</v>
      </c>
      <c r="V15" s="465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</row>
    <row r="16" spans="1:38" s="44" customFormat="1" ht="10.5" customHeight="1">
      <c r="A16" s="463"/>
      <c r="B16" s="410">
        <v>2016</v>
      </c>
      <c r="C16" s="419">
        <v>7378430</v>
      </c>
      <c r="D16" s="417">
        <v>1515602</v>
      </c>
      <c r="E16" s="417">
        <v>459015</v>
      </c>
      <c r="F16" s="417">
        <v>328228</v>
      </c>
      <c r="G16" s="417">
        <v>441646</v>
      </c>
      <c r="H16" s="417">
        <v>213176</v>
      </c>
      <c r="I16" s="417">
        <v>219252</v>
      </c>
      <c r="J16" s="417">
        <v>148190</v>
      </c>
      <c r="K16" s="417">
        <v>65052</v>
      </c>
      <c r="L16" s="407">
        <v>1958593</v>
      </c>
      <c r="M16" s="407">
        <v>223484</v>
      </c>
      <c r="N16" s="407">
        <v>202679</v>
      </c>
      <c r="O16" s="407">
        <v>286764</v>
      </c>
      <c r="P16" s="407">
        <v>248188</v>
      </c>
      <c r="Q16" s="407">
        <v>234132</v>
      </c>
      <c r="R16" s="407">
        <v>315652</v>
      </c>
      <c r="S16" s="407">
        <v>411952</v>
      </c>
      <c r="T16" s="413">
        <v>106825</v>
      </c>
      <c r="U16" s="410">
        <v>2016</v>
      </c>
      <c r="V16" s="465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</row>
    <row r="17" spans="1:38" s="44" customFormat="1" ht="10.5" customHeight="1">
      <c r="A17" s="463"/>
      <c r="B17" s="410">
        <v>2017</v>
      </c>
      <c r="C17" s="419">
        <v>7154226</v>
      </c>
      <c r="D17" s="417">
        <v>1472937</v>
      </c>
      <c r="E17" s="417">
        <v>439073</v>
      </c>
      <c r="F17" s="417">
        <v>321182</v>
      </c>
      <c r="G17" s="417">
        <v>409465</v>
      </c>
      <c r="H17" s="417">
        <v>208138</v>
      </c>
      <c r="I17" s="417">
        <v>211449</v>
      </c>
      <c r="J17" s="417">
        <v>135199</v>
      </c>
      <c r="K17" s="417">
        <v>82073</v>
      </c>
      <c r="L17" s="407">
        <v>1888324</v>
      </c>
      <c r="M17" s="407">
        <v>211653</v>
      </c>
      <c r="N17" s="407">
        <v>197177</v>
      </c>
      <c r="O17" s="407">
        <v>288738</v>
      </c>
      <c r="P17" s="407">
        <v>232047</v>
      </c>
      <c r="Q17" s="407">
        <v>227504</v>
      </c>
      <c r="R17" s="407">
        <v>311061</v>
      </c>
      <c r="S17" s="407">
        <v>413179</v>
      </c>
      <c r="T17" s="413">
        <v>105027</v>
      </c>
      <c r="U17" s="410">
        <v>2017</v>
      </c>
      <c r="V17" s="465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</row>
    <row r="18" spans="1:38" s="44" customFormat="1" ht="10.5" customHeight="1">
      <c r="A18" s="463"/>
      <c r="B18" s="410">
        <v>2018</v>
      </c>
      <c r="C18" s="419">
        <v>7297099</v>
      </c>
      <c r="D18" s="417">
        <v>1439707</v>
      </c>
      <c r="E18" s="417">
        <v>416095</v>
      </c>
      <c r="F18" s="417">
        <v>321158</v>
      </c>
      <c r="G18" s="417">
        <v>433639</v>
      </c>
      <c r="H18" s="417">
        <v>218892</v>
      </c>
      <c r="I18" s="417">
        <v>212879</v>
      </c>
      <c r="J18" s="417">
        <v>127922</v>
      </c>
      <c r="K18" s="417">
        <v>86433</v>
      </c>
      <c r="L18" s="407">
        <v>2041715</v>
      </c>
      <c r="M18" s="407">
        <v>216398</v>
      </c>
      <c r="N18" s="407">
        <v>218886</v>
      </c>
      <c r="O18" s="407">
        <v>292305</v>
      </c>
      <c r="P18" s="407">
        <v>243324</v>
      </c>
      <c r="Q18" s="407">
        <v>224384</v>
      </c>
      <c r="R18" s="407">
        <v>309446</v>
      </c>
      <c r="S18" s="407">
        <v>389714</v>
      </c>
      <c r="T18" s="413">
        <v>104202</v>
      </c>
      <c r="U18" s="410">
        <v>2018</v>
      </c>
      <c r="V18" s="465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</row>
    <row r="19" spans="1:38" s="44" customFormat="1" ht="10.5" customHeight="1">
      <c r="A19" s="463"/>
      <c r="B19" s="410">
        <v>2019</v>
      </c>
      <c r="C19" s="419">
        <v>7104398</v>
      </c>
      <c r="D19" s="417">
        <v>1426493</v>
      </c>
      <c r="E19" s="417">
        <v>411704</v>
      </c>
      <c r="F19" s="417">
        <v>312419</v>
      </c>
      <c r="G19" s="417">
        <v>420014</v>
      </c>
      <c r="H19" s="417">
        <v>217130</v>
      </c>
      <c r="I19" s="417">
        <v>212424</v>
      </c>
      <c r="J19" s="417">
        <v>142056</v>
      </c>
      <c r="K19" s="417">
        <v>82398</v>
      </c>
      <c r="L19" s="407">
        <v>1940962</v>
      </c>
      <c r="M19" s="407">
        <v>217626</v>
      </c>
      <c r="N19" s="407">
        <v>211396</v>
      </c>
      <c r="O19" s="407">
        <v>258790</v>
      </c>
      <c r="P19" s="407">
        <v>228775</v>
      </c>
      <c r="Q19" s="407">
        <v>224483</v>
      </c>
      <c r="R19" s="407">
        <v>306511</v>
      </c>
      <c r="S19" s="407">
        <v>396251</v>
      </c>
      <c r="T19" s="413">
        <v>94966</v>
      </c>
      <c r="U19" s="410">
        <v>2019</v>
      </c>
      <c r="V19" s="465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</row>
    <row r="20" spans="1:38" s="44" customFormat="1" ht="10.5" customHeight="1">
      <c r="A20" s="463"/>
      <c r="B20" s="410">
        <v>2020</v>
      </c>
      <c r="C20" s="419">
        <v>7735491</v>
      </c>
      <c r="D20" s="417">
        <v>1578127</v>
      </c>
      <c r="E20" s="417">
        <v>491829</v>
      </c>
      <c r="F20" s="417">
        <v>347248</v>
      </c>
      <c r="G20" s="417">
        <v>444556</v>
      </c>
      <c r="H20" s="417">
        <v>226163</v>
      </c>
      <c r="I20" s="417">
        <v>232321</v>
      </c>
      <c r="J20" s="417">
        <v>136112</v>
      </c>
      <c r="K20" s="417">
        <v>78934</v>
      </c>
      <c r="L20" s="407">
        <v>2152572</v>
      </c>
      <c r="M20" s="407">
        <v>223354</v>
      </c>
      <c r="N20" s="407">
        <v>229895</v>
      </c>
      <c r="O20" s="407">
        <v>287127</v>
      </c>
      <c r="P20" s="407">
        <v>249083</v>
      </c>
      <c r="Q20" s="407">
        <v>239016</v>
      </c>
      <c r="R20" s="407">
        <v>317701</v>
      </c>
      <c r="S20" s="407">
        <v>403339</v>
      </c>
      <c r="T20" s="413">
        <v>98114</v>
      </c>
      <c r="U20" s="410">
        <v>2020</v>
      </c>
      <c r="V20" s="465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</row>
    <row r="21" spans="1:38" s="44" customFormat="1" ht="10.5" customHeight="1">
      <c r="A21" s="463"/>
      <c r="B21" s="410">
        <v>2021</v>
      </c>
      <c r="C21" s="419">
        <v>7213422</v>
      </c>
      <c r="D21" s="417">
        <v>1418187</v>
      </c>
      <c r="E21" s="417">
        <v>441323</v>
      </c>
      <c r="F21" s="417">
        <v>304761</v>
      </c>
      <c r="G21" s="417">
        <v>433137</v>
      </c>
      <c r="H21" s="417">
        <v>212888</v>
      </c>
      <c r="I21" s="417">
        <v>211565</v>
      </c>
      <c r="J21" s="417">
        <v>129880</v>
      </c>
      <c r="K21" s="417">
        <v>76912</v>
      </c>
      <c r="L21" s="407">
        <v>2036215</v>
      </c>
      <c r="M21" s="407">
        <v>217103</v>
      </c>
      <c r="N21" s="407">
        <v>214300</v>
      </c>
      <c r="O21" s="407">
        <v>282195</v>
      </c>
      <c r="P21" s="407">
        <v>223710</v>
      </c>
      <c r="Q21" s="407">
        <v>223619</v>
      </c>
      <c r="R21" s="407">
        <v>317866</v>
      </c>
      <c r="S21" s="407">
        <v>374782</v>
      </c>
      <c r="T21" s="413">
        <v>94979</v>
      </c>
      <c r="U21" s="410">
        <v>2021</v>
      </c>
      <c r="V21" s="465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</row>
    <row r="22" spans="1:38" s="44" customFormat="1" ht="10.5" customHeight="1">
      <c r="A22" s="463"/>
      <c r="B22" s="410">
        <v>2022</v>
      </c>
      <c r="C22" s="419">
        <v>6152155</v>
      </c>
      <c r="D22" s="417">
        <v>1201527</v>
      </c>
      <c r="E22" s="417">
        <v>383848</v>
      </c>
      <c r="F22" s="417">
        <v>265354</v>
      </c>
      <c r="G22" s="417">
        <v>395140</v>
      </c>
      <c r="H22" s="417">
        <v>182924</v>
      </c>
      <c r="I22" s="417">
        <v>198705</v>
      </c>
      <c r="J22" s="417">
        <v>107747</v>
      </c>
      <c r="K22" s="417">
        <v>65529</v>
      </c>
      <c r="L22" s="407">
        <v>1645990</v>
      </c>
      <c r="M22" s="407">
        <v>194864</v>
      </c>
      <c r="N22" s="407">
        <v>185419</v>
      </c>
      <c r="O22" s="407">
        <v>260488</v>
      </c>
      <c r="P22" s="407">
        <v>199432</v>
      </c>
      <c r="Q22" s="407">
        <v>191956</v>
      </c>
      <c r="R22" s="407">
        <v>263156</v>
      </c>
      <c r="S22" s="407">
        <v>323211</v>
      </c>
      <c r="T22" s="413">
        <v>86865</v>
      </c>
      <c r="U22" s="410">
        <v>2022</v>
      </c>
      <c r="V22" s="465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</row>
    <row r="23" spans="1:38" s="44" customFormat="1" ht="10.5" customHeight="1">
      <c r="A23" s="463"/>
      <c r="B23" s="410">
        <v>2023</v>
      </c>
      <c r="C23" s="419">
        <v>6128738</v>
      </c>
      <c r="D23" s="417">
        <v>1206963</v>
      </c>
      <c r="E23" s="417">
        <v>364271</v>
      </c>
      <c r="F23" s="417">
        <v>296291</v>
      </c>
      <c r="G23" s="417">
        <v>424127</v>
      </c>
      <c r="H23" s="417">
        <v>162916</v>
      </c>
      <c r="I23" s="417">
        <v>186084</v>
      </c>
      <c r="J23" s="417">
        <v>116641</v>
      </c>
      <c r="K23" s="417">
        <v>56050</v>
      </c>
      <c r="L23" s="407">
        <v>1681183</v>
      </c>
      <c r="M23" s="407">
        <v>173366</v>
      </c>
      <c r="N23" s="407">
        <v>186341</v>
      </c>
      <c r="O23" s="407">
        <v>266056</v>
      </c>
      <c r="P23" s="407">
        <v>188788</v>
      </c>
      <c r="Q23" s="407">
        <v>183557</v>
      </c>
      <c r="R23" s="407">
        <v>254287</v>
      </c>
      <c r="S23" s="407">
        <v>300309</v>
      </c>
      <c r="T23" s="413">
        <v>81508</v>
      </c>
      <c r="U23" s="410">
        <v>2023</v>
      </c>
      <c r="V23" s="465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</row>
    <row r="24" spans="1:38" s="44" customFormat="1" ht="10.5" customHeight="1">
      <c r="A24" s="463"/>
      <c r="B24" s="410">
        <v>2024</v>
      </c>
      <c r="C24" s="419">
        <v>6283319</v>
      </c>
      <c r="D24" s="417">
        <v>1221380</v>
      </c>
      <c r="E24" s="417">
        <v>378597</v>
      </c>
      <c r="F24" s="417">
        <v>303544</v>
      </c>
      <c r="G24" s="417">
        <v>397818</v>
      </c>
      <c r="H24" s="417">
        <v>172439</v>
      </c>
      <c r="I24" s="417">
        <v>195980</v>
      </c>
      <c r="J24" s="417">
        <v>113332</v>
      </c>
      <c r="K24" s="417">
        <v>61022</v>
      </c>
      <c r="L24" s="407">
        <v>1726287</v>
      </c>
      <c r="M24" s="407">
        <v>184339</v>
      </c>
      <c r="N24" s="407">
        <v>189758</v>
      </c>
      <c r="O24" s="407">
        <v>266831</v>
      </c>
      <c r="P24" s="407">
        <v>198792</v>
      </c>
      <c r="Q24" s="407">
        <v>183834</v>
      </c>
      <c r="R24" s="407">
        <v>278273</v>
      </c>
      <c r="S24" s="407">
        <v>329398</v>
      </c>
      <c r="T24" s="413">
        <v>81695</v>
      </c>
      <c r="U24" s="410">
        <v>2024</v>
      </c>
      <c r="V24" s="465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</row>
    <row r="25" spans="1:38" s="44" customFormat="1" ht="10.5" customHeight="1">
      <c r="A25" s="463"/>
      <c r="B25" s="410">
        <v>2025</v>
      </c>
      <c r="C25" s="419">
        <v>6117784</v>
      </c>
      <c r="D25" s="417">
        <v>1244928</v>
      </c>
      <c r="E25" s="417">
        <v>362416</v>
      </c>
      <c r="F25" s="417">
        <v>268468</v>
      </c>
      <c r="G25" s="417">
        <v>395525</v>
      </c>
      <c r="H25" s="417">
        <v>162873</v>
      </c>
      <c r="I25" s="417">
        <v>207372</v>
      </c>
      <c r="J25" s="417">
        <v>114205</v>
      </c>
      <c r="K25" s="417">
        <v>54355</v>
      </c>
      <c r="L25" s="407">
        <v>1628873</v>
      </c>
      <c r="M25" s="407">
        <v>182825</v>
      </c>
      <c r="N25" s="407">
        <v>199201</v>
      </c>
      <c r="O25" s="407">
        <v>251857</v>
      </c>
      <c r="P25" s="407">
        <v>195095</v>
      </c>
      <c r="Q25" s="407">
        <v>185748</v>
      </c>
      <c r="R25" s="407">
        <v>259920</v>
      </c>
      <c r="S25" s="407">
        <v>326535</v>
      </c>
      <c r="T25" s="413">
        <v>77588</v>
      </c>
      <c r="U25" s="410">
        <v>2025</v>
      </c>
      <c r="V25" s="465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</row>
    <row r="26" spans="1:38" s="44" customFormat="1" ht="3.95" customHeight="1">
      <c r="A26" s="229"/>
      <c r="B26" s="410"/>
      <c r="C26" s="417"/>
      <c r="D26" s="417"/>
      <c r="E26" s="417"/>
      <c r="F26" s="417"/>
      <c r="G26" s="417"/>
      <c r="H26" s="417"/>
      <c r="I26" s="417"/>
      <c r="J26" s="417"/>
      <c r="K26" s="417"/>
      <c r="L26" s="407"/>
      <c r="M26" s="407"/>
      <c r="N26" s="407"/>
      <c r="O26" s="407"/>
      <c r="P26" s="407"/>
      <c r="Q26" s="407"/>
      <c r="R26" s="407"/>
      <c r="S26" s="407"/>
      <c r="T26" s="407"/>
      <c r="U26" s="410"/>
      <c r="V26" s="226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</row>
    <row r="27" spans="1:38" s="44" customFormat="1" ht="3.95" customHeight="1">
      <c r="A27" s="474" t="s">
        <v>158</v>
      </c>
      <c r="B27" s="411"/>
      <c r="C27" s="412"/>
      <c r="D27" s="412"/>
      <c r="E27" s="412"/>
      <c r="F27" s="412"/>
      <c r="G27" s="412"/>
      <c r="H27" s="412"/>
      <c r="I27" s="412"/>
      <c r="J27" s="412"/>
      <c r="K27" s="430"/>
      <c r="L27" s="412"/>
      <c r="M27" s="412"/>
      <c r="N27" s="412"/>
      <c r="O27" s="412"/>
      <c r="P27" s="412"/>
      <c r="Q27" s="412"/>
      <c r="R27" s="412"/>
      <c r="S27" s="412"/>
      <c r="T27" s="412"/>
      <c r="U27" s="411"/>
      <c r="V27" s="466" t="s">
        <v>158</v>
      </c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</row>
    <row r="28" spans="1:38" s="44" customFormat="1" ht="10.5" customHeight="1">
      <c r="A28" s="463"/>
      <c r="B28" s="410">
        <v>2005</v>
      </c>
      <c r="C28" s="417">
        <v>8795397</v>
      </c>
      <c r="D28" s="417">
        <v>2041756</v>
      </c>
      <c r="E28" s="417">
        <v>589746</v>
      </c>
      <c r="F28" s="417">
        <v>465300</v>
      </c>
      <c r="G28" s="417">
        <v>491203</v>
      </c>
      <c r="H28" s="417">
        <v>297762</v>
      </c>
      <c r="I28" s="417">
        <v>284625</v>
      </c>
      <c r="J28" s="417">
        <v>170073</v>
      </c>
      <c r="K28" s="417" t="s">
        <v>91</v>
      </c>
      <c r="L28" s="407">
        <v>2028470</v>
      </c>
      <c r="M28" s="407">
        <v>257162</v>
      </c>
      <c r="N28" s="407">
        <v>240615</v>
      </c>
      <c r="O28" s="407">
        <v>320445</v>
      </c>
      <c r="P28" s="407">
        <v>336014</v>
      </c>
      <c r="Q28" s="407">
        <v>304419</v>
      </c>
      <c r="R28" s="407">
        <v>386228</v>
      </c>
      <c r="S28" s="407">
        <v>487733</v>
      </c>
      <c r="T28" s="408">
        <v>93846</v>
      </c>
      <c r="U28" s="410">
        <v>2005</v>
      </c>
      <c r="V28" s="465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</row>
    <row r="29" spans="1:38" s="44" customFormat="1" ht="10.5" customHeight="1">
      <c r="A29" s="463"/>
      <c r="B29" s="410">
        <v>2006</v>
      </c>
      <c r="C29" s="417">
        <v>9342074</v>
      </c>
      <c r="D29" s="417">
        <v>2210458</v>
      </c>
      <c r="E29" s="417">
        <v>594601</v>
      </c>
      <c r="F29" s="417">
        <v>454076</v>
      </c>
      <c r="G29" s="417">
        <v>513839</v>
      </c>
      <c r="H29" s="417">
        <v>304209</v>
      </c>
      <c r="I29" s="417">
        <v>292499</v>
      </c>
      <c r="J29" s="417">
        <v>176800</v>
      </c>
      <c r="K29" s="417" t="s">
        <v>91</v>
      </c>
      <c r="L29" s="407">
        <v>2321008</v>
      </c>
      <c r="M29" s="407">
        <v>264068</v>
      </c>
      <c r="N29" s="407">
        <v>244227</v>
      </c>
      <c r="O29" s="407">
        <v>329811</v>
      </c>
      <c r="P29" s="407">
        <v>346399</v>
      </c>
      <c r="Q29" s="407">
        <v>308961</v>
      </c>
      <c r="R29" s="407">
        <v>394805</v>
      </c>
      <c r="S29" s="407">
        <v>495419</v>
      </c>
      <c r="T29" s="408">
        <v>90894</v>
      </c>
      <c r="U29" s="410">
        <v>2006</v>
      </c>
      <c r="V29" s="465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</row>
    <row r="30" spans="1:38" s="44" customFormat="1" ht="10.5" customHeight="1">
      <c r="A30" s="463"/>
      <c r="B30" s="410">
        <v>2007</v>
      </c>
      <c r="C30" s="417">
        <v>9070102</v>
      </c>
      <c r="D30" s="417">
        <v>2130928</v>
      </c>
      <c r="E30" s="417">
        <v>565419</v>
      </c>
      <c r="F30" s="417">
        <v>416398</v>
      </c>
      <c r="G30" s="417">
        <v>553898</v>
      </c>
      <c r="H30" s="417">
        <v>290248</v>
      </c>
      <c r="I30" s="417">
        <v>284128</v>
      </c>
      <c r="J30" s="417">
        <v>181367</v>
      </c>
      <c r="K30" s="417" t="s">
        <v>91</v>
      </c>
      <c r="L30" s="407">
        <v>2193857</v>
      </c>
      <c r="M30" s="407">
        <v>251328</v>
      </c>
      <c r="N30" s="407">
        <v>247741</v>
      </c>
      <c r="O30" s="407">
        <v>341850</v>
      </c>
      <c r="P30" s="407">
        <v>343831</v>
      </c>
      <c r="Q30" s="407">
        <v>303752</v>
      </c>
      <c r="R30" s="407">
        <v>395536</v>
      </c>
      <c r="S30" s="407">
        <v>483599</v>
      </c>
      <c r="T30" s="408">
        <v>86222</v>
      </c>
      <c r="U30" s="410">
        <v>2007</v>
      </c>
      <c r="V30" s="465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</row>
    <row r="31" spans="1:38" s="44" customFormat="1" ht="10.5" customHeight="1">
      <c r="A31" s="463"/>
      <c r="B31" s="410">
        <v>2008</v>
      </c>
      <c r="C31" s="417">
        <v>8808256</v>
      </c>
      <c r="D31" s="417">
        <v>2083352</v>
      </c>
      <c r="E31" s="417">
        <v>549106</v>
      </c>
      <c r="F31" s="417">
        <v>422676</v>
      </c>
      <c r="G31" s="417">
        <v>556166</v>
      </c>
      <c r="H31" s="417">
        <v>268310</v>
      </c>
      <c r="I31" s="417">
        <v>269142</v>
      </c>
      <c r="J31" s="417">
        <v>177756</v>
      </c>
      <c r="K31" s="417" t="s">
        <v>91</v>
      </c>
      <c r="L31" s="407">
        <v>2094988</v>
      </c>
      <c r="M31" s="407">
        <v>250883</v>
      </c>
      <c r="N31" s="407">
        <v>237759</v>
      </c>
      <c r="O31" s="407">
        <v>339765</v>
      </c>
      <c r="P31" s="407">
        <v>333045</v>
      </c>
      <c r="Q31" s="407">
        <v>291224</v>
      </c>
      <c r="R31" s="407">
        <v>377397</v>
      </c>
      <c r="S31" s="407">
        <v>474327</v>
      </c>
      <c r="T31" s="408">
        <v>82360</v>
      </c>
      <c r="U31" s="410">
        <v>2008</v>
      </c>
      <c r="V31" s="465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</row>
    <row r="32" spans="1:38" s="44" customFormat="1" ht="10.5" customHeight="1">
      <c r="A32" s="463"/>
      <c r="B32" s="410">
        <v>2009</v>
      </c>
      <c r="C32" s="417">
        <v>8487275</v>
      </c>
      <c r="D32" s="417">
        <v>1925452</v>
      </c>
      <c r="E32" s="417">
        <v>549094</v>
      </c>
      <c r="F32" s="417">
        <v>411288</v>
      </c>
      <c r="G32" s="417">
        <v>476071</v>
      </c>
      <c r="H32" s="417">
        <v>290771</v>
      </c>
      <c r="I32" s="417">
        <v>258182</v>
      </c>
      <c r="J32" s="417">
        <v>164984</v>
      </c>
      <c r="K32" s="417" t="s">
        <v>91</v>
      </c>
      <c r="L32" s="407">
        <v>2081528</v>
      </c>
      <c r="M32" s="407">
        <v>247373</v>
      </c>
      <c r="N32" s="407">
        <v>230351</v>
      </c>
      <c r="O32" s="407">
        <v>317511</v>
      </c>
      <c r="P32" s="407">
        <v>318943</v>
      </c>
      <c r="Q32" s="407">
        <v>288476</v>
      </c>
      <c r="R32" s="407">
        <v>375551</v>
      </c>
      <c r="S32" s="407">
        <v>474110</v>
      </c>
      <c r="T32" s="408">
        <v>77590</v>
      </c>
      <c r="U32" s="410">
        <v>2009</v>
      </c>
      <c r="V32" s="465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</row>
    <row r="33" spans="1:38" s="44" customFormat="1" ht="10.5" customHeight="1">
      <c r="A33" s="463"/>
      <c r="B33" s="410">
        <v>2010</v>
      </c>
      <c r="C33" s="417">
        <v>8226594</v>
      </c>
      <c r="D33" s="417">
        <v>1848038</v>
      </c>
      <c r="E33" s="417">
        <v>547800</v>
      </c>
      <c r="F33" s="417">
        <v>382657</v>
      </c>
      <c r="G33" s="417">
        <v>458439</v>
      </c>
      <c r="H33" s="417">
        <v>265043</v>
      </c>
      <c r="I33" s="417">
        <v>263477</v>
      </c>
      <c r="J33" s="417">
        <v>164671</v>
      </c>
      <c r="K33" s="417" t="s">
        <v>91</v>
      </c>
      <c r="L33" s="407">
        <v>2026383</v>
      </c>
      <c r="M33" s="407">
        <v>241183</v>
      </c>
      <c r="N33" s="407">
        <v>229707</v>
      </c>
      <c r="O33" s="407">
        <v>301675</v>
      </c>
      <c r="P33" s="407">
        <v>308237</v>
      </c>
      <c r="Q33" s="407">
        <v>275661</v>
      </c>
      <c r="R33" s="407">
        <v>358127</v>
      </c>
      <c r="S33" s="407">
        <v>478709</v>
      </c>
      <c r="T33" s="408">
        <v>76787</v>
      </c>
      <c r="U33" s="410">
        <v>2010</v>
      </c>
      <c r="V33" s="465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</row>
    <row r="34" spans="1:38" s="44" customFormat="1" ht="10.5" customHeight="1">
      <c r="A34" s="463"/>
      <c r="B34" s="410">
        <v>2011</v>
      </c>
      <c r="C34" s="417">
        <v>8127195</v>
      </c>
      <c r="D34" s="417">
        <v>1834806</v>
      </c>
      <c r="E34" s="417">
        <v>532906</v>
      </c>
      <c r="F34" s="417">
        <v>383310</v>
      </c>
      <c r="G34" s="417">
        <v>470758</v>
      </c>
      <c r="H34" s="417">
        <v>259282</v>
      </c>
      <c r="I34" s="417">
        <v>260900</v>
      </c>
      <c r="J34" s="417">
        <v>163091</v>
      </c>
      <c r="K34" s="417" t="s">
        <v>91</v>
      </c>
      <c r="L34" s="407">
        <v>1986623</v>
      </c>
      <c r="M34" s="407">
        <v>231424</v>
      </c>
      <c r="N34" s="407">
        <v>220515</v>
      </c>
      <c r="O34" s="407">
        <v>302546</v>
      </c>
      <c r="P34" s="407">
        <v>306290</v>
      </c>
      <c r="Q34" s="407">
        <v>266461</v>
      </c>
      <c r="R34" s="407">
        <v>358695</v>
      </c>
      <c r="S34" s="407">
        <v>469223</v>
      </c>
      <c r="T34" s="408">
        <v>80365</v>
      </c>
      <c r="U34" s="410">
        <v>2011</v>
      </c>
      <c r="V34" s="465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</row>
    <row r="35" spans="1:38" s="44" customFormat="1" ht="10.5" customHeight="1">
      <c r="A35" s="463"/>
      <c r="B35" s="410">
        <v>2012</v>
      </c>
      <c r="C35" s="417">
        <v>7506691</v>
      </c>
      <c r="D35" s="417">
        <v>1658928</v>
      </c>
      <c r="E35" s="417">
        <v>481652</v>
      </c>
      <c r="F35" s="417">
        <v>359206</v>
      </c>
      <c r="G35" s="417">
        <v>440872</v>
      </c>
      <c r="H35" s="417">
        <v>230437</v>
      </c>
      <c r="I35" s="417">
        <v>239136</v>
      </c>
      <c r="J35" s="417">
        <v>157427</v>
      </c>
      <c r="K35" s="417">
        <v>15291</v>
      </c>
      <c r="L35" s="407">
        <v>1862209</v>
      </c>
      <c r="M35" s="407">
        <v>225184</v>
      </c>
      <c r="N35" s="407">
        <v>207622</v>
      </c>
      <c r="O35" s="407">
        <v>277346</v>
      </c>
      <c r="P35" s="407">
        <v>275126</v>
      </c>
      <c r="Q35" s="407">
        <v>244080</v>
      </c>
      <c r="R35" s="407">
        <v>340222</v>
      </c>
      <c r="S35" s="407">
        <v>417328</v>
      </c>
      <c r="T35" s="408">
        <v>74625</v>
      </c>
      <c r="U35" s="410">
        <v>2012</v>
      </c>
      <c r="V35" s="465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</row>
    <row r="36" spans="1:38" s="44" customFormat="1" ht="10.5" customHeight="1">
      <c r="A36" s="463"/>
      <c r="B36" s="410">
        <v>2013</v>
      </c>
      <c r="C36" s="417">
        <v>7411784</v>
      </c>
      <c r="D36" s="417">
        <v>1620640</v>
      </c>
      <c r="E36" s="417">
        <v>496161</v>
      </c>
      <c r="F36" s="417">
        <v>363224</v>
      </c>
      <c r="G36" s="417">
        <v>439578</v>
      </c>
      <c r="H36" s="417">
        <v>229288</v>
      </c>
      <c r="I36" s="417">
        <v>230547</v>
      </c>
      <c r="J36" s="417">
        <v>157185</v>
      </c>
      <c r="K36" s="417">
        <v>15109</v>
      </c>
      <c r="L36" s="407">
        <v>1821303</v>
      </c>
      <c r="M36" s="407">
        <v>214931</v>
      </c>
      <c r="N36" s="407">
        <v>212860</v>
      </c>
      <c r="O36" s="407">
        <v>268053</v>
      </c>
      <c r="P36" s="407">
        <v>260395</v>
      </c>
      <c r="Q36" s="407">
        <v>246635</v>
      </c>
      <c r="R36" s="407">
        <v>330983</v>
      </c>
      <c r="S36" s="407">
        <v>423864</v>
      </c>
      <c r="T36" s="408">
        <v>81028</v>
      </c>
      <c r="U36" s="410">
        <v>2013</v>
      </c>
      <c r="V36" s="465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</row>
    <row r="37" spans="1:38" s="44" customFormat="1" ht="10.5" customHeight="1">
      <c r="A37" s="463"/>
      <c r="B37" s="410">
        <v>2014</v>
      </c>
      <c r="C37" s="417">
        <v>7629098</v>
      </c>
      <c r="D37" s="417">
        <v>1661425</v>
      </c>
      <c r="E37" s="417">
        <v>500802</v>
      </c>
      <c r="F37" s="417">
        <v>365739</v>
      </c>
      <c r="G37" s="417">
        <v>442973</v>
      </c>
      <c r="H37" s="417">
        <v>246043</v>
      </c>
      <c r="I37" s="417">
        <v>248397</v>
      </c>
      <c r="J37" s="417">
        <v>173229</v>
      </c>
      <c r="K37" s="417">
        <v>23070</v>
      </c>
      <c r="L37" s="407">
        <v>1834379</v>
      </c>
      <c r="M37" s="407">
        <v>226284</v>
      </c>
      <c r="N37" s="407">
        <v>213577</v>
      </c>
      <c r="O37" s="407">
        <v>279817</v>
      </c>
      <c r="P37" s="407">
        <v>276900</v>
      </c>
      <c r="Q37" s="407">
        <v>260874</v>
      </c>
      <c r="R37" s="407">
        <v>338029</v>
      </c>
      <c r="S37" s="407">
        <v>456164</v>
      </c>
      <c r="T37" s="408">
        <v>81396</v>
      </c>
      <c r="U37" s="410">
        <v>2014</v>
      </c>
      <c r="V37" s="465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</row>
    <row r="38" spans="1:38" s="44" customFormat="1" ht="10.5" customHeight="1">
      <c r="A38" s="463"/>
      <c r="B38" s="410">
        <v>2015</v>
      </c>
      <c r="C38" s="417">
        <v>7755286</v>
      </c>
      <c r="D38" s="417">
        <v>1726687</v>
      </c>
      <c r="E38" s="417">
        <v>520591</v>
      </c>
      <c r="F38" s="417">
        <v>364364</v>
      </c>
      <c r="G38" s="417">
        <v>463685</v>
      </c>
      <c r="H38" s="417">
        <v>233875</v>
      </c>
      <c r="I38" s="417">
        <v>241390</v>
      </c>
      <c r="J38" s="417">
        <v>170473</v>
      </c>
      <c r="K38" s="417">
        <v>30950</v>
      </c>
      <c r="L38" s="407">
        <v>1898312</v>
      </c>
      <c r="M38" s="407">
        <v>222352</v>
      </c>
      <c r="N38" s="407">
        <v>213188</v>
      </c>
      <c r="O38" s="407">
        <v>279680</v>
      </c>
      <c r="P38" s="407">
        <v>264662</v>
      </c>
      <c r="Q38" s="407">
        <v>246168</v>
      </c>
      <c r="R38" s="407">
        <v>345307</v>
      </c>
      <c r="S38" s="407">
        <v>450279</v>
      </c>
      <c r="T38" s="408">
        <v>83323</v>
      </c>
      <c r="U38" s="410">
        <v>2015</v>
      </c>
      <c r="V38" s="465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</row>
    <row r="39" spans="1:38" s="44" customFormat="1" ht="10.5" customHeight="1">
      <c r="A39" s="463"/>
      <c r="B39" s="410">
        <v>2016</v>
      </c>
      <c r="C39" s="417">
        <v>7378430</v>
      </c>
      <c r="D39" s="417">
        <v>1655859</v>
      </c>
      <c r="E39" s="417">
        <v>480407</v>
      </c>
      <c r="F39" s="417">
        <v>337488</v>
      </c>
      <c r="G39" s="417">
        <v>435869</v>
      </c>
      <c r="H39" s="417">
        <v>221074</v>
      </c>
      <c r="I39" s="417">
        <v>229883</v>
      </c>
      <c r="J39" s="417">
        <v>155812</v>
      </c>
      <c r="K39" s="417">
        <v>35236</v>
      </c>
      <c r="L39" s="407">
        <v>1824976</v>
      </c>
      <c r="M39" s="407">
        <v>221592</v>
      </c>
      <c r="N39" s="407">
        <v>197668</v>
      </c>
      <c r="O39" s="407">
        <v>271446</v>
      </c>
      <c r="P39" s="407">
        <v>252607</v>
      </c>
      <c r="Q39" s="407">
        <v>237337</v>
      </c>
      <c r="R39" s="407">
        <v>318803</v>
      </c>
      <c r="S39" s="407">
        <v>410180</v>
      </c>
      <c r="T39" s="408">
        <v>92193</v>
      </c>
      <c r="U39" s="410">
        <v>2016</v>
      </c>
      <c r="V39" s="465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</row>
    <row r="40" spans="1:38" s="44" customFormat="1" ht="10.5" customHeight="1">
      <c r="A40" s="463"/>
      <c r="B40" s="410">
        <v>2017</v>
      </c>
      <c r="C40" s="417">
        <v>7154226</v>
      </c>
      <c r="D40" s="417">
        <v>1571423</v>
      </c>
      <c r="E40" s="417">
        <v>467471</v>
      </c>
      <c r="F40" s="417">
        <v>333118</v>
      </c>
      <c r="G40" s="417">
        <v>411135</v>
      </c>
      <c r="H40" s="417">
        <v>216256</v>
      </c>
      <c r="I40" s="417">
        <v>227624</v>
      </c>
      <c r="J40" s="417">
        <v>147116</v>
      </c>
      <c r="K40" s="417">
        <v>47383</v>
      </c>
      <c r="L40" s="407">
        <v>1772162</v>
      </c>
      <c r="M40" s="407">
        <v>209618</v>
      </c>
      <c r="N40" s="407">
        <v>194915</v>
      </c>
      <c r="O40" s="407">
        <v>269337</v>
      </c>
      <c r="P40" s="407">
        <v>239253</v>
      </c>
      <c r="Q40" s="407">
        <v>230551</v>
      </c>
      <c r="R40" s="407">
        <v>316642</v>
      </c>
      <c r="S40" s="407">
        <v>409200</v>
      </c>
      <c r="T40" s="408">
        <v>91022</v>
      </c>
      <c r="U40" s="410">
        <v>2017</v>
      </c>
      <c r="V40" s="465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</row>
    <row r="41" spans="1:38" s="44" customFormat="1" ht="10.5" customHeight="1">
      <c r="A41" s="463"/>
      <c r="B41" s="410">
        <v>2018</v>
      </c>
      <c r="C41" s="417">
        <v>7297099</v>
      </c>
      <c r="D41" s="417">
        <v>1549937</v>
      </c>
      <c r="E41" s="417">
        <v>442854</v>
      </c>
      <c r="F41" s="417">
        <v>335400</v>
      </c>
      <c r="G41" s="417">
        <v>433706</v>
      </c>
      <c r="H41" s="417">
        <v>225108</v>
      </c>
      <c r="I41" s="417">
        <v>227632</v>
      </c>
      <c r="J41" s="417">
        <v>140576</v>
      </c>
      <c r="K41" s="417">
        <v>55000</v>
      </c>
      <c r="L41" s="407">
        <v>1871621</v>
      </c>
      <c r="M41" s="407">
        <v>220252</v>
      </c>
      <c r="N41" s="407">
        <v>213737</v>
      </c>
      <c r="O41" s="407">
        <v>282221</v>
      </c>
      <c r="P41" s="407">
        <v>257097</v>
      </c>
      <c r="Q41" s="407">
        <v>232414</v>
      </c>
      <c r="R41" s="407">
        <v>318671</v>
      </c>
      <c r="S41" s="407">
        <v>395524</v>
      </c>
      <c r="T41" s="408">
        <v>95349</v>
      </c>
      <c r="U41" s="410">
        <v>2018</v>
      </c>
      <c r="V41" s="465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</row>
    <row r="42" spans="1:38" s="44" customFormat="1" ht="10.5" customHeight="1">
      <c r="A42" s="463"/>
      <c r="B42" s="410">
        <v>2019</v>
      </c>
      <c r="C42" s="417">
        <v>7104398</v>
      </c>
      <c r="D42" s="417">
        <v>1476081</v>
      </c>
      <c r="E42" s="417">
        <v>435058</v>
      </c>
      <c r="F42" s="417">
        <v>336092</v>
      </c>
      <c r="G42" s="417">
        <v>422351</v>
      </c>
      <c r="H42" s="417">
        <v>221005</v>
      </c>
      <c r="I42" s="417">
        <v>228766</v>
      </c>
      <c r="J42" s="417">
        <v>152228</v>
      </c>
      <c r="K42" s="417">
        <v>58674</v>
      </c>
      <c r="L42" s="407">
        <v>1806296</v>
      </c>
      <c r="M42" s="407">
        <v>215965</v>
      </c>
      <c r="N42" s="407">
        <v>208831</v>
      </c>
      <c r="O42" s="407">
        <v>259584</v>
      </c>
      <c r="P42" s="407">
        <v>241523</v>
      </c>
      <c r="Q42" s="407">
        <v>233271</v>
      </c>
      <c r="R42" s="407">
        <v>311082</v>
      </c>
      <c r="S42" s="407">
        <v>405561</v>
      </c>
      <c r="T42" s="408">
        <v>92030</v>
      </c>
      <c r="U42" s="410">
        <v>2019</v>
      </c>
      <c r="V42" s="465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</row>
    <row r="43" spans="1:38" s="44" customFormat="1" ht="10.5" customHeight="1">
      <c r="A43" s="463"/>
      <c r="B43" s="410">
        <v>2020</v>
      </c>
      <c r="C43" s="417">
        <v>7735491</v>
      </c>
      <c r="D43" s="417">
        <v>1642977</v>
      </c>
      <c r="E43" s="417">
        <v>506176</v>
      </c>
      <c r="F43" s="417">
        <v>364083</v>
      </c>
      <c r="G43" s="417">
        <v>460304</v>
      </c>
      <c r="H43" s="417">
        <v>232246</v>
      </c>
      <c r="I43" s="417">
        <v>243418</v>
      </c>
      <c r="J43" s="417">
        <v>149696</v>
      </c>
      <c r="K43" s="417">
        <v>65909</v>
      </c>
      <c r="L43" s="407">
        <v>1984199</v>
      </c>
      <c r="M43" s="407">
        <v>217897</v>
      </c>
      <c r="N43" s="407">
        <v>226441</v>
      </c>
      <c r="O43" s="407">
        <v>286386</v>
      </c>
      <c r="P43" s="407">
        <v>257577</v>
      </c>
      <c r="Q43" s="407">
        <v>248770</v>
      </c>
      <c r="R43" s="407">
        <v>334679</v>
      </c>
      <c r="S43" s="407">
        <v>419997</v>
      </c>
      <c r="T43" s="408">
        <v>94736</v>
      </c>
      <c r="U43" s="410">
        <v>2020</v>
      </c>
      <c r="V43" s="465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</row>
    <row r="44" spans="1:38" s="44" customFormat="1" ht="10.5" customHeight="1">
      <c r="A44" s="463"/>
      <c r="B44" s="410">
        <v>2021</v>
      </c>
      <c r="C44" s="417">
        <v>7213422</v>
      </c>
      <c r="D44" s="417">
        <v>1524430</v>
      </c>
      <c r="E44" s="417">
        <v>460226</v>
      </c>
      <c r="F44" s="417">
        <v>329080</v>
      </c>
      <c r="G44" s="417">
        <v>421714</v>
      </c>
      <c r="H44" s="417">
        <v>218771</v>
      </c>
      <c r="I44" s="417">
        <v>220496</v>
      </c>
      <c r="J44" s="417">
        <v>143554</v>
      </c>
      <c r="K44" s="417">
        <v>62827</v>
      </c>
      <c r="L44" s="407">
        <v>1885698</v>
      </c>
      <c r="M44" s="407">
        <v>210422</v>
      </c>
      <c r="N44" s="407">
        <v>210838</v>
      </c>
      <c r="O44" s="407">
        <v>273673</v>
      </c>
      <c r="P44" s="407">
        <v>229511</v>
      </c>
      <c r="Q44" s="407">
        <v>228106</v>
      </c>
      <c r="R44" s="407">
        <v>314529</v>
      </c>
      <c r="S44" s="407">
        <v>388485</v>
      </c>
      <c r="T44" s="408">
        <v>91062</v>
      </c>
      <c r="U44" s="410">
        <v>2021</v>
      </c>
      <c r="V44" s="465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</row>
    <row r="45" spans="1:38" s="44" customFormat="1" ht="10.5" customHeight="1">
      <c r="A45" s="463"/>
      <c r="B45" s="410">
        <v>2022</v>
      </c>
      <c r="C45" s="417">
        <v>6152155</v>
      </c>
      <c r="D45" s="417">
        <v>1236867</v>
      </c>
      <c r="E45" s="417">
        <v>397410</v>
      </c>
      <c r="F45" s="417">
        <v>276873</v>
      </c>
      <c r="G45" s="417">
        <v>367039</v>
      </c>
      <c r="H45" s="417">
        <v>190566</v>
      </c>
      <c r="I45" s="417">
        <v>201701</v>
      </c>
      <c r="J45" s="417">
        <v>117283</v>
      </c>
      <c r="K45" s="417">
        <v>55401</v>
      </c>
      <c r="L45" s="407">
        <v>1602108</v>
      </c>
      <c r="M45" s="407">
        <v>187370</v>
      </c>
      <c r="N45" s="407">
        <v>180218</v>
      </c>
      <c r="O45" s="407">
        <v>246174</v>
      </c>
      <c r="P45" s="407">
        <v>204547</v>
      </c>
      <c r="Q45" s="407">
        <v>192301</v>
      </c>
      <c r="R45" s="407">
        <v>270822</v>
      </c>
      <c r="S45" s="407">
        <v>341758</v>
      </c>
      <c r="T45" s="408">
        <v>83717</v>
      </c>
      <c r="U45" s="410">
        <v>2022</v>
      </c>
      <c r="V45" s="465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</row>
    <row r="46" spans="1:38" s="44" customFormat="1" ht="10.5" customHeight="1">
      <c r="A46" s="463"/>
      <c r="B46" s="410">
        <v>2023</v>
      </c>
      <c r="C46" s="417">
        <v>6128738</v>
      </c>
      <c r="D46" s="417">
        <v>1238213</v>
      </c>
      <c r="E46" s="417">
        <v>375703</v>
      </c>
      <c r="F46" s="417">
        <v>301579</v>
      </c>
      <c r="G46" s="417">
        <v>390620</v>
      </c>
      <c r="H46" s="417">
        <v>171933</v>
      </c>
      <c r="I46" s="417">
        <v>188558</v>
      </c>
      <c r="J46" s="417">
        <v>122856</v>
      </c>
      <c r="K46" s="417">
        <v>54360</v>
      </c>
      <c r="L46" s="407">
        <v>1636571</v>
      </c>
      <c r="M46" s="407">
        <v>174763</v>
      </c>
      <c r="N46" s="407">
        <v>182468</v>
      </c>
      <c r="O46" s="407">
        <v>250216</v>
      </c>
      <c r="P46" s="407">
        <v>193245</v>
      </c>
      <c r="Q46" s="407">
        <v>185357</v>
      </c>
      <c r="R46" s="407">
        <v>262492</v>
      </c>
      <c r="S46" s="407">
        <v>316609</v>
      </c>
      <c r="T46" s="408">
        <v>83195</v>
      </c>
      <c r="U46" s="410">
        <v>2023</v>
      </c>
      <c r="V46" s="465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</row>
    <row r="47" spans="1:38" s="44" customFormat="1" ht="10.5" customHeight="1">
      <c r="A47" s="463"/>
      <c r="B47" s="410">
        <v>2024</v>
      </c>
      <c r="C47" s="417">
        <v>6283319</v>
      </c>
      <c r="D47" s="417">
        <v>1266072</v>
      </c>
      <c r="E47" s="417">
        <v>392254</v>
      </c>
      <c r="F47" s="417">
        <v>308256</v>
      </c>
      <c r="G47" s="417">
        <v>372175</v>
      </c>
      <c r="H47" s="417">
        <v>180401</v>
      </c>
      <c r="I47" s="417">
        <v>197673</v>
      </c>
      <c r="J47" s="417">
        <v>118186</v>
      </c>
      <c r="K47" s="417">
        <v>58214</v>
      </c>
      <c r="L47" s="407">
        <v>1662069</v>
      </c>
      <c r="M47" s="407">
        <v>186866</v>
      </c>
      <c r="N47" s="407">
        <v>186513</v>
      </c>
      <c r="O47" s="407">
        <v>252167</v>
      </c>
      <c r="P47" s="407">
        <v>204852</v>
      </c>
      <c r="Q47" s="407">
        <v>187822</v>
      </c>
      <c r="R47" s="407">
        <v>286276</v>
      </c>
      <c r="S47" s="407">
        <v>338467</v>
      </c>
      <c r="T47" s="408">
        <v>85056</v>
      </c>
      <c r="U47" s="410">
        <v>2024</v>
      </c>
      <c r="V47" s="465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</row>
    <row r="48" spans="1:38" s="44" customFormat="1" ht="10.5" customHeight="1">
      <c r="A48" s="463"/>
      <c r="B48" s="410">
        <v>2025</v>
      </c>
      <c r="C48" s="417">
        <v>6117784</v>
      </c>
      <c r="D48" s="417">
        <v>1271697</v>
      </c>
      <c r="E48" s="417">
        <v>374597</v>
      </c>
      <c r="F48" s="417">
        <v>272740</v>
      </c>
      <c r="G48" s="417">
        <v>363261</v>
      </c>
      <c r="H48" s="417">
        <v>176551</v>
      </c>
      <c r="I48" s="417">
        <v>204548</v>
      </c>
      <c r="J48" s="417">
        <v>119679</v>
      </c>
      <c r="K48" s="417">
        <v>54402</v>
      </c>
      <c r="L48" s="407">
        <v>1595903</v>
      </c>
      <c r="M48" s="407">
        <v>184212</v>
      </c>
      <c r="N48" s="407">
        <v>188412</v>
      </c>
      <c r="O48" s="407">
        <v>243591</v>
      </c>
      <c r="P48" s="407">
        <v>198670</v>
      </c>
      <c r="Q48" s="407">
        <v>184414</v>
      </c>
      <c r="R48" s="407">
        <v>269134</v>
      </c>
      <c r="S48" s="407">
        <v>334112</v>
      </c>
      <c r="T48" s="408">
        <v>81861</v>
      </c>
      <c r="U48" s="410">
        <v>2025</v>
      </c>
      <c r="V48" s="465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</row>
    <row r="49" spans="1:38" s="44" customFormat="1" ht="3.95" customHeight="1">
      <c r="A49" s="475"/>
      <c r="B49" s="414"/>
      <c r="C49" s="415"/>
      <c r="D49" s="415"/>
      <c r="E49" s="415"/>
      <c r="F49" s="415"/>
      <c r="G49" s="415"/>
      <c r="H49" s="415"/>
      <c r="I49" s="415"/>
      <c r="J49" s="415"/>
      <c r="K49" s="409"/>
      <c r="L49" s="415"/>
      <c r="M49" s="415"/>
      <c r="N49" s="415"/>
      <c r="O49" s="415"/>
      <c r="P49" s="415"/>
      <c r="Q49" s="415"/>
      <c r="R49" s="415"/>
      <c r="S49" s="415"/>
      <c r="T49" s="415"/>
      <c r="U49" s="414"/>
      <c r="V49" s="467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</row>
    <row r="50" spans="1:38" s="44" customFormat="1" ht="3.95" customHeight="1">
      <c r="A50" s="229"/>
      <c r="B50" s="410"/>
      <c r="C50" s="417"/>
      <c r="D50" s="417"/>
      <c r="E50" s="417"/>
      <c r="F50" s="417"/>
      <c r="G50" s="417"/>
      <c r="H50" s="417"/>
      <c r="I50" s="417"/>
      <c r="J50" s="417"/>
      <c r="K50" s="417"/>
      <c r="L50" s="407"/>
      <c r="M50" s="407"/>
      <c r="N50" s="407"/>
      <c r="O50" s="407"/>
      <c r="P50" s="407"/>
      <c r="Q50" s="407"/>
      <c r="R50" s="407"/>
      <c r="S50" s="407"/>
      <c r="T50" s="407"/>
      <c r="U50" s="410"/>
      <c r="V50" s="226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</row>
    <row r="51" spans="1:38" s="44" customFormat="1" ht="10.5" customHeight="1">
      <c r="A51" s="463" t="s">
        <v>40</v>
      </c>
      <c r="B51" s="410">
        <v>2005</v>
      </c>
      <c r="C51" s="417">
        <v>0</v>
      </c>
      <c r="D51" s="294">
        <v>-51007</v>
      </c>
      <c r="E51" s="294">
        <v>-36975</v>
      </c>
      <c r="F51" s="294">
        <v>-24950</v>
      </c>
      <c r="G51" s="294">
        <v>10965</v>
      </c>
      <c r="H51" s="294">
        <v>-7333</v>
      </c>
      <c r="I51" s="294">
        <v>3210</v>
      </c>
      <c r="J51" s="294">
        <v>-392</v>
      </c>
      <c r="K51" s="294" t="s">
        <v>91</v>
      </c>
      <c r="L51" s="294">
        <v>168851</v>
      </c>
      <c r="M51" s="294">
        <v>-11473</v>
      </c>
      <c r="N51" s="294">
        <v>-4708</v>
      </c>
      <c r="O51" s="294">
        <v>4999</v>
      </c>
      <c r="P51" s="294">
        <v>-24477</v>
      </c>
      <c r="Q51" s="294">
        <v>-20007</v>
      </c>
      <c r="R51" s="294">
        <v>-11517</v>
      </c>
      <c r="S51" s="294">
        <v>5619</v>
      </c>
      <c r="T51" s="295">
        <v>-805</v>
      </c>
      <c r="U51" s="410">
        <v>2005</v>
      </c>
      <c r="V51" s="465" t="s">
        <v>40</v>
      </c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</row>
    <row r="52" spans="1:38" s="44" customFormat="1" ht="10.5" customHeight="1">
      <c r="A52" s="463"/>
      <c r="B52" s="410">
        <v>2006</v>
      </c>
      <c r="C52" s="417">
        <v>0</v>
      </c>
      <c r="D52" s="294">
        <v>-36551</v>
      </c>
      <c r="E52" s="294">
        <v>-34686</v>
      </c>
      <c r="F52" s="294">
        <v>-25659</v>
      </c>
      <c r="G52" s="294">
        <v>9618</v>
      </c>
      <c r="H52" s="294">
        <v>-2730</v>
      </c>
      <c r="I52" s="294">
        <v>2315</v>
      </c>
      <c r="J52" s="294">
        <v>-2411</v>
      </c>
      <c r="K52" s="294" t="s">
        <v>91</v>
      </c>
      <c r="L52" s="294">
        <v>138633</v>
      </c>
      <c r="M52" s="294">
        <v>-9560</v>
      </c>
      <c r="N52" s="294">
        <v>1750</v>
      </c>
      <c r="O52" s="294">
        <v>7055</v>
      </c>
      <c r="P52" s="294">
        <v>-19162</v>
      </c>
      <c r="Q52" s="294">
        <v>-24685</v>
      </c>
      <c r="R52" s="294">
        <v>-3319</v>
      </c>
      <c r="S52" s="294">
        <v>1294</v>
      </c>
      <c r="T52" s="295">
        <v>-1902</v>
      </c>
      <c r="U52" s="410">
        <v>2006</v>
      </c>
      <c r="V52" s="465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</row>
    <row r="53" spans="1:38" s="44" customFormat="1" ht="10.5" customHeight="1">
      <c r="A53" s="463"/>
      <c r="B53" s="410">
        <v>2007</v>
      </c>
      <c r="C53" s="417">
        <v>0</v>
      </c>
      <c r="D53" s="294">
        <v>-52883</v>
      </c>
      <c r="E53" s="294">
        <v>-36076</v>
      </c>
      <c r="F53" s="294">
        <v>-16545</v>
      </c>
      <c r="G53" s="294">
        <v>22721</v>
      </c>
      <c r="H53" s="294">
        <v>-4143</v>
      </c>
      <c r="I53" s="294">
        <v>-1048</v>
      </c>
      <c r="J53" s="294">
        <v>-992</v>
      </c>
      <c r="K53" s="294" t="s">
        <v>91</v>
      </c>
      <c r="L53" s="294">
        <v>113100</v>
      </c>
      <c r="M53" s="294">
        <v>-6146</v>
      </c>
      <c r="N53" s="294">
        <v>5692</v>
      </c>
      <c r="O53" s="294">
        <v>13363</v>
      </c>
      <c r="P53" s="294">
        <v>-10874</v>
      </c>
      <c r="Q53" s="294">
        <v>-16573</v>
      </c>
      <c r="R53" s="294">
        <v>-14611</v>
      </c>
      <c r="S53" s="294">
        <v>7943</v>
      </c>
      <c r="T53" s="295">
        <v>-2928</v>
      </c>
      <c r="U53" s="410">
        <v>2007</v>
      </c>
      <c r="V53" s="465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</row>
    <row r="54" spans="1:38" s="44" customFormat="1" ht="10.5" customHeight="1">
      <c r="A54" s="463"/>
      <c r="B54" s="410">
        <v>2008</v>
      </c>
      <c r="C54" s="417">
        <v>0</v>
      </c>
      <c r="D54" s="294">
        <v>-57994</v>
      </c>
      <c r="E54" s="294">
        <v>-34604</v>
      </c>
      <c r="F54" s="294">
        <v>-12738</v>
      </c>
      <c r="G54" s="294">
        <v>9419</v>
      </c>
      <c r="H54" s="294">
        <v>447</v>
      </c>
      <c r="I54" s="294">
        <v>-5610</v>
      </c>
      <c r="J54" s="294">
        <v>3906</v>
      </c>
      <c r="K54" s="294" t="s">
        <v>91</v>
      </c>
      <c r="L54" s="294">
        <v>100597</v>
      </c>
      <c r="M54" s="294">
        <v>1310</v>
      </c>
      <c r="N54" s="294">
        <v>6913</v>
      </c>
      <c r="O54" s="294">
        <v>15529</v>
      </c>
      <c r="P54" s="294">
        <v>-10550</v>
      </c>
      <c r="Q54" s="294">
        <v>-13318</v>
      </c>
      <c r="R54" s="294">
        <v>-14100</v>
      </c>
      <c r="S54" s="294">
        <v>13029</v>
      </c>
      <c r="T54" s="295">
        <v>-2236</v>
      </c>
      <c r="U54" s="410">
        <v>2008</v>
      </c>
      <c r="V54" s="465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</row>
    <row r="55" spans="1:38" s="44" customFormat="1" ht="10.5" customHeight="1">
      <c r="A55" s="463"/>
      <c r="B55" s="410">
        <v>2009</v>
      </c>
      <c r="C55" s="417">
        <v>0</v>
      </c>
      <c r="D55" s="294">
        <v>-52264</v>
      </c>
      <c r="E55" s="294">
        <v>-29784</v>
      </c>
      <c r="F55" s="294">
        <v>-12662</v>
      </c>
      <c r="G55" s="294">
        <v>2098</v>
      </c>
      <c r="H55" s="294">
        <v>3108</v>
      </c>
      <c r="I55" s="294">
        <v>-5758</v>
      </c>
      <c r="J55" s="294">
        <v>-5031</v>
      </c>
      <c r="K55" s="294" t="s">
        <v>91</v>
      </c>
      <c r="L55" s="294">
        <v>94153</v>
      </c>
      <c r="M55" s="294">
        <v>1818</v>
      </c>
      <c r="N55" s="294">
        <v>2521</v>
      </c>
      <c r="O55" s="294">
        <v>12115</v>
      </c>
      <c r="P55" s="294">
        <v>-4806</v>
      </c>
      <c r="Q55" s="294">
        <v>-7425</v>
      </c>
      <c r="R55" s="294">
        <v>-8307</v>
      </c>
      <c r="S55" s="294">
        <v>11239</v>
      </c>
      <c r="T55" s="295">
        <v>-1015</v>
      </c>
      <c r="U55" s="410">
        <v>2009</v>
      </c>
      <c r="V55" s="465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</row>
    <row r="56" spans="1:38" s="44" customFormat="1" ht="10.5" customHeight="1">
      <c r="A56" s="463"/>
      <c r="B56" s="410">
        <v>2010</v>
      </c>
      <c r="C56" s="417">
        <v>0</v>
      </c>
      <c r="D56" s="294">
        <v>-115023</v>
      </c>
      <c r="E56" s="294">
        <v>-28466</v>
      </c>
      <c r="F56" s="294">
        <v>-11840</v>
      </c>
      <c r="G56" s="294">
        <v>3612</v>
      </c>
      <c r="H56" s="294">
        <v>3531</v>
      </c>
      <c r="I56" s="294">
        <v>-1045</v>
      </c>
      <c r="J56" s="294">
        <v>-3525</v>
      </c>
      <c r="K56" s="294" t="s">
        <v>91</v>
      </c>
      <c r="L56" s="294">
        <v>142437</v>
      </c>
      <c r="M56" s="294">
        <v>555</v>
      </c>
      <c r="N56" s="294">
        <v>5964</v>
      </c>
      <c r="O56" s="294">
        <v>16178</v>
      </c>
      <c r="P56" s="294">
        <v>-2448</v>
      </c>
      <c r="Q56" s="294">
        <v>-10061</v>
      </c>
      <c r="R56" s="294">
        <v>-3552</v>
      </c>
      <c r="S56" s="294">
        <v>3246</v>
      </c>
      <c r="T56" s="295">
        <v>437</v>
      </c>
      <c r="U56" s="410">
        <v>2010</v>
      </c>
      <c r="V56" s="465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</row>
    <row r="57" spans="1:38" s="44" customFormat="1" ht="10.5" customHeight="1">
      <c r="A57" s="463"/>
      <c r="B57" s="410">
        <v>2011</v>
      </c>
      <c r="C57" s="417">
        <v>0</v>
      </c>
      <c r="D57" s="294">
        <v>-113058</v>
      </c>
      <c r="E57" s="294">
        <v>-24863</v>
      </c>
      <c r="F57" s="294">
        <v>-12747</v>
      </c>
      <c r="G57" s="294">
        <v>28809</v>
      </c>
      <c r="H57" s="294">
        <v>1279</v>
      </c>
      <c r="I57" s="294">
        <v>3344</v>
      </c>
      <c r="J57" s="294">
        <v>1872</v>
      </c>
      <c r="K57" s="294" t="s">
        <v>91</v>
      </c>
      <c r="L57" s="294">
        <v>75799</v>
      </c>
      <c r="M57" s="294">
        <v>4653</v>
      </c>
      <c r="N57" s="294">
        <v>8079</v>
      </c>
      <c r="O57" s="294">
        <v>18641</v>
      </c>
      <c r="P57" s="294">
        <v>1721</v>
      </c>
      <c r="Q57" s="294">
        <v>-5222</v>
      </c>
      <c r="R57" s="294">
        <v>4816</v>
      </c>
      <c r="S57" s="294">
        <v>4534</v>
      </c>
      <c r="T57" s="295">
        <v>2343</v>
      </c>
      <c r="U57" s="410">
        <v>2011</v>
      </c>
      <c r="V57" s="465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</row>
    <row r="58" spans="1:38" s="44" customFormat="1" ht="10.5" customHeight="1">
      <c r="A58" s="463"/>
      <c r="B58" s="410">
        <v>2012</v>
      </c>
      <c r="C58" s="417">
        <v>0</v>
      </c>
      <c r="D58" s="294">
        <v>-103647</v>
      </c>
      <c r="E58" s="294">
        <v>-20610</v>
      </c>
      <c r="F58" s="294">
        <v>-10564</v>
      </c>
      <c r="G58" s="294">
        <v>27794</v>
      </c>
      <c r="H58" s="294">
        <v>-1825</v>
      </c>
      <c r="I58" s="294">
        <v>499</v>
      </c>
      <c r="J58" s="294">
        <v>4006</v>
      </c>
      <c r="K58" s="294">
        <v>17493</v>
      </c>
      <c r="L58" s="294">
        <v>82753</v>
      </c>
      <c r="M58" s="294">
        <v>712</v>
      </c>
      <c r="N58" s="294">
        <v>4641</v>
      </c>
      <c r="O58" s="294">
        <v>9849</v>
      </c>
      <c r="P58" s="294">
        <v>-3291</v>
      </c>
      <c r="Q58" s="294">
        <v>-5054</v>
      </c>
      <c r="R58" s="294">
        <v>-4860</v>
      </c>
      <c r="S58" s="294">
        <v>-2772</v>
      </c>
      <c r="T58" s="295">
        <v>4876</v>
      </c>
      <c r="U58" s="410">
        <v>2012</v>
      </c>
      <c r="V58" s="465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</row>
    <row r="59" spans="1:38" s="44" customFormat="1" ht="10.5" customHeight="1">
      <c r="A59" s="463"/>
      <c r="B59" s="410">
        <v>2013</v>
      </c>
      <c r="C59" s="417">
        <v>0</v>
      </c>
      <c r="D59" s="294">
        <v>-100550</v>
      </c>
      <c r="E59" s="294">
        <v>-17710</v>
      </c>
      <c r="F59" s="294">
        <v>-11351</v>
      </c>
      <c r="G59" s="294">
        <v>22035</v>
      </c>
      <c r="H59" s="294">
        <v>-2592</v>
      </c>
      <c r="I59" s="294">
        <v>311</v>
      </c>
      <c r="J59" s="294">
        <v>2307</v>
      </c>
      <c r="K59" s="294">
        <v>8696</v>
      </c>
      <c r="L59" s="294">
        <v>74131</v>
      </c>
      <c r="M59" s="294">
        <v>2986</v>
      </c>
      <c r="N59" s="294">
        <v>3113</v>
      </c>
      <c r="O59" s="294">
        <v>13375</v>
      </c>
      <c r="P59" s="294">
        <v>-2197</v>
      </c>
      <c r="Q59" s="294">
        <v>-2306</v>
      </c>
      <c r="R59" s="294">
        <v>-1865</v>
      </c>
      <c r="S59" s="294">
        <v>3794</v>
      </c>
      <c r="T59" s="295">
        <v>7823</v>
      </c>
      <c r="U59" s="410">
        <v>2013</v>
      </c>
      <c r="V59" s="465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</row>
    <row r="60" spans="1:38" s="44" customFormat="1" ht="10.5" customHeight="1">
      <c r="A60" s="463"/>
      <c r="B60" s="410">
        <v>2014</v>
      </c>
      <c r="C60" s="417">
        <v>0</v>
      </c>
      <c r="D60" s="294">
        <v>-87831</v>
      </c>
      <c r="E60" s="294">
        <v>-15092</v>
      </c>
      <c r="F60" s="294">
        <v>-15526</v>
      </c>
      <c r="G60" s="294">
        <v>9324</v>
      </c>
      <c r="H60" s="294">
        <v>-2977</v>
      </c>
      <c r="I60" s="294">
        <v>-8838</v>
      </c>
      <c r="J60" s="294">
        <v>2786</v>
      </c>
      <c r="K60" s="294">
        <v>33456</v>
      </c>
      <c r="L60" s="294">
        <v>57396</v>
      </c>
      <c r="M60" s="294">
        <v>2085</v>
      </c>
      <c r="N60" s="294">
        <v>2367</v>
      </c>
      <c r="O60" s="294">
        <v>9810</v>
      </c>
      <c r="P60" s="294">
        <v>-2563</v>
      </c>
      <c r="Q60" s="294">
        <v>-596</v>
      </c>
      <c r="R60" s="294">
        <v>-988</v>
      </c>
      <c r="S60" s="294">
        <v>6075</v>
      </c>
      <c r="T60" s="295">
        <v>11112</v>
      </c>
      <c r="U60" s="410">
        <v>2014</v>
      </c>
      <c r="V60" s="465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</row>
    <row r="61" spans="1:38" s="44" customFormat="1" ht="10.5" customHeight="1">
      <c r="A61" s="463"/>
      <c r="B61" s="410">
        <v>2015</v>
      </c>
      <c r="C61" s="417">
        <v>0</v>
      </c>
      <c r="D61" s="294">
        <v>-137256</v>
      </c>
      <c r="E61" s="294">
        <v>-13560</v>
      </c>
      <c r="F61" s="294">
        <v>-12940</v>
      </c>
      <c r="G61" s="294">
        <v>9538</v>
      </c>
      <c r="H61" s="294">
        <v>-9272</v>
      </c>
      <c r="I61" s="294">
        <v>-20616</v>
      </c>
      <c r="J61" s="294">
        <v>-80</v>
      </c>
      <c r="K61" s="294">
        <v>53044</v>
      </c>
      <c r="L61" s="294">
        <v>94768</v>
      </c>
      <c r="M61" s="294">
        <v>4773</v>
      </c>
      <c r="N61" s="294">
        <v>1438</v>
      </c>
      <c r="O61" s="294">
        <v>10272</v>
      </c>
      <c r="P61" s="294">
        <v>-2830</v>
      </c>
      <c r="Q61" s="294">
        <v>3936</v>
      </c>
      <c r="R61" s="294">
        <v>-577</v>
      </c>
      <c r="S61" s="294">
        <v>5105</v>
      </c>
      <c r="T61" s="295">
        <v>14257</v>
      </c>
      <c r="U61" s="410">
        <v>2015</v>
      </c>
      <c r="V61" s="465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</row>
    <row r="62" spans="1:38" s="44" customFormat="1" ht="10.5" customHeight="1">
      <c r="A62" s="463"/>
      <c r="B62" s="410">
        <v>2016</v>
      </c>
      <c r="C62" s="417">
        <v>0</v>
      </c>
      <c r="D62" s="294">
        <v>-140257</v>
      </c>
      <c r="E62" s="294">
        <v>-21392</v>
      </c>
      <c r="F62" s="294">
        <v>-9260</v>
      </c>
      <c r="G62" s="294">
        <v>5777</v>
      </c>
      <c r="H62" s="294">
        <v>-7898</v>
      </c>
      <c r="I62" s="294">
        <v>-10631</v>
      </c>
      <c r="J62" s="294">
        <v>-7622</v>
      </c>
      <c r="K62" s="294">
        <v>29816</v>
      </c>
      <c r="L62" s="294">
        <v>133617</v>
      </c>
      <c r="M62" s="294">
        <v>1892</v>
      </c>
      <c r="N62" s="294">
        <v>5011</v>
      </c>
      <c r="O62" s="294">
        <v>15318</v>
      </c>
      <c r="P62" s="294">
        <v>-4419</v>
      </c>
      <c r="Q62" s="294">
        <v>-3205</v>
      </c>
      <c r="R62" s="294">
        <v>-3151</v>
      </c>
      <c r="S62" s="294">
        <v>1772</v>
      </c>
      <c r="T62" s="295">
        <v>14632</v>
      </c>
      <c r="U62" s="410">
        <v>2016</v>
      </c>
      <c r="V62" s="465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</row>
    <row r="63" spans="1:38" s="44" customFormat="1" ht="10.5" customHeight="1">
      <c r="A63" s="463"/>
      <c r="B63" s="410">
        <v>2017</v>
      </c>
      <c r="C63" s="417">
        <v>0</v>
      </c>
      <c r="D63" s="294">
        <v>-98486</v>
      </c>
      <c r="E63" s="294">
        <v>-28398</v>
      </c>
      <c r="F63" s="294">
        <v>-11936</v>
      </c>
      <c r="G63" s="294">
        <v>-1670</v>
      </c>
      <c r="H63" s="294">
        <v>-8118</v>
      </c>
      <c r="I63" s="294">
        <v>-16175</v>
      </c>
      <c r="J63" s="294">
        <v>-11917</v>
      </c>
      <c r="K63" s="294">
        <v>34690</v>
      </c>
      <c r="L63" s="294">
        <v>116162</v>
      </c>
      <c r="M63" s="294">
        <v>2035</v>
      </c>
      <c r="N63" s="294">
        <v>2262</v>
      </c>
      <c r="O63" s="294">
        <v>19401</v>
      </c>
      <c r="P63" s="294">
        <v>-7206</v>
      </c>
      <c r="Q63" s="294">
        <v>-3047</v>
      </c>
      <c r="R63" s="294">
        <v>-5581</v>
      </c>
      <c r="S63" s="294">
        <v>3979</v>
      </c>
      <c r="T63" s="295">
        <v>14005</v>
      </c>
      <c r="U63" s="410">
        <v>2017</v>
      </c>
      <c r="V63" s="465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</row>
    <row r="64" spans="1:38" s="44" customFormat="1" ht="10.5" customHeight="1">
      <c r="A64" s="463"/>
      <c r="B64" s="410">
        <v>2018</v>
      </c>
      <c r="C64" s="417">
        <v>0</v>
      </c>
      <c r="D64" s="294">
        <v>-110230</v>
      </c>
      <c r="E64" s="294">
        <v>-26759</v>
      </c>
      <c r="F64" s="294">
        <v>-14242</v>
      </c>
      <c r="G64" s="294">
        <v>-67</v>
      </c>
      <c r="H64" s="294">
        <v>-6216</v>
      </c>
      <c r="I64" s="294">
        <v>-14753</v>
      </c>
      <c r="J64" s="294">
        <v>-12654</v>
      </c>
      <c r="K64" s="294">
        <v>31433</v>
      </c>
      <c r="L64" s="294">
        <v>170094</v>
      </c>
      <c r="M64" s="294">
        <v>-3854</v>
      </c>
      <c r="N64" s="294">
        <v>5149</v>
      </c>
      <c r="O64" s="294">
        <v>10084</v>
      </c>
      <c r="P64" s="294">
        <v>-13773</v>
      </c>
      <c r="Q64" s="294">
        <v>-8030</v>
      </c>
      <c r="R64" s="294">
        <v>-9225</v>
      </c>
      <c r="S64" s="294">
        <v>-5810</v>
      </c>
      <c r="T64" s="295">
        <v>8853</v>
      </c>
      <c r="U64" s="410">
        <v>2018</v>
      </c>
      <c r="V64" s="465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</row>
    <row r="65" spans="1:38" s="44" customFormat="1" ht="10.5" customHeight="1">
      <c r="A65" s="463"/>
      <c r="B65" s="410">
        <v>2019</v>
      </c>
      <c r="C65" s="417">
        <v>0</v>
      </c>
      <c r="D65" s="294">
        <v>-49588</v>
      </c>
      <c r="E65" s="294">
        <v>-23354</v>
      </c>
      <c r="F65" s="294">
        <v>-23673</v>
      </c>
      <c r="G65" s="294">
        <v>-2337</v>
      </c>
      <c r="H65" s="294">
        <v>-3875</v>
      </c>
      <c r="I65" s="294">
        <v>-16342</v>
      </c>
      <c r="J65" s="294">
        <v>-10172</v>
      </c>
      <c r="K65" s="294">
        <v>23724</v>
      </c>
      <c r="L65" s="294">
        <v>134666</v>
      </c>
      <c r="M65" s="294">
        <v>1661</v>
      </c>
      <c r="N65" s="294">
        <v>2565</v>
      </c>
      <c r="O65" s="294">
        <v>-794</v>
      </c>
      <c r="P65" s="294">
        <v>-12748</v>
      </c>
      <c r="Q65" s="294">
        <v>-8788</v>
      </c>
      <c r="R65" s="294">
        <v>-4571</v>
      </c>
      <c r="S65" s="294">
        <v>-9310</v>
      </c>
      <c r="T65" s="295">
        <v>2936</v>
      </c>
      <c r="U65" s="410">
        <v>2019</v>
      </c>
      <c r="V65" s="465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</row>
    <row r="66" spans="1:38" s="44" customFormat="1" ht="10.5" customHeight="1">
      <c r="A66" s="463"/>
      <c r="B66" s="410">
        <v>2020</v>
      </c>
      <c r="C66" s="417">
        <v>0</v>
      </c>
      <c r="D66" s="294">
        <v>-64850</v>
      </c>
      <c r="E66" s="294">
        <v>-14347</v>
      </c>
      <c r="F66" s="294">
        <v>-16835</v>
      </c>
      <c r="G66" s="294">
        <v>-15748</v>
      </c>
      <c r="H66" s="294">
        <v>-6083</v>
      </c>
      <c r="I66" s="294">
        <v>-11097</v>
      </c>
      <c r="J66" s="294">
        <v>-13584</v>
      </c>
      <c r="K66" s="294">
        <v>13025</v>
      </c>
      <c r="L66" s="294">
        <v>168373</v>
      </c>
      <c r="M66" s="294">
        <v>5457</v>
      </c>
      <c r="N66" s="294">
        <v>3454</v>
      </c>
      <c r="O66" s="294">
        <v>741</v>
      </c>
      <c r="P66" s="294">
        <v>-8494</v>
      </c>
      <c r="Q66" s="294">
        <v>-9754</v>
      </c>
      <c r="R66" s="294">
        <v>-16978</v>
      </c>
      <c r="S66" s="294">
        <v>-16658</v>
      </c>
      <c r="T66" s="295">
        <v>3378</v>
      </c>
      <c r="U66" s="410">
        <v>2020</v>
      </c>
      <c r="V66" s="465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</row>
    <row r="67" spans="1:38" s="44" customFormat="1" ht="10.5" customHeight="1">
      <c r="A67" s="463"/>
      <c r="B67" s="410">
        <v>2021</v>
      </c>
      <c r="C67" s="417">
        <v>0</v>
      </c>
      <c r="D67" s="294">
        <v>-106243</v>
      </c>
      <c r="E67" s="294">
        <v>-18903</v>
      </c>
      <c r="F67" s="294">
        <v>-24319</v>
      </c>
      <c r="G67" s="294">
        <v>11423</v>
      </c>
      <c r="H67" s="294">
        <v>-5883</v>
      </c>
      <c r="I67" s="294">
        <v>-8931</v>
      </c>
      <c r="J67" s="294">
        <v>-13674</v>
      </c>
      <c r="K67" s="294">
        <v>14085</v>
      </c>
      <c r="L67" s="294">
        <v>150517</v>
      </c>
      <c r="M67" s="294">
        <v>6681</v>
      </c>
      <c r="N67" s="294">
        <v>3462</v>
      </c>
      <c r="O67" s="294">
        <v>8522</v>
      </c>
      <c r="P67" s="294">
        <v>-5801</v>
      </c>
      <c r="Q67" s="294">
        <v>-4487</v>
      </c>
      <c r="R67" s="294">
        <v>3337</v>
      </c>
      <c r="S67" s="294">
        <v>-13703</v>
      </c>
      <c r="T67" s="295">
        <v>3917</v>
      </c>
      <c r="U67" s="410">
        <v>2021</v>
      </c>
      <c r="V67" s="465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</row>
    <row r="68" spans="1:38" s="44" customFormat="1" ht="10.5" customHeight="1">
      <c r="A68" s="463"/>
      <c r="B68" s="410">
        <v>2022</v>
      </c>
      <c r="C68" s="417">
        <v>0</v>
      </c>
      <c r="D68" s="294">
        <v>-35340</v>
      </c>
      <c r="E68" s="294">
        <v>-13562</v>
      </c>
      <c r="F68" s="294">
        <v>-11519</v>
      </c>
      <c r="G68" s="294">
        <v>28101</v>
      </c>
      <c r="H68" s="294">
        <v>-7642</v>
      </c>
      <c r="I68" s="294">
        <v>-2996</v>
      </c>
      <c r="J68" s="294">
        <v>-9536</v>
      </c>
      <c r="K68" s="294">
        <v>10128</v>
      </c>
      <c r="L68" s="294">
        <v>43882</v>
      </c>
      <c r="M68" s="294">
        <v>7494</v>
      </c>
      <c r="N68" s="294">
        <v>5201</v>
      </c>
      <c r="O68" s="294">
        <v>14314</v>
      </c>
      <c r="P68" s="294">
        <v>-5115</v>
      </c>
      <c r="Q68" s="294">
        <v>-345</v>
      </c>
      <c r="R68" s="294">
        <v>-7666</v>
      </c>
      <c r="S68" s="294">
        <v>-18547</v>
      </c>
      <c r="T68" s="295">
        <v>3148</v>
      </c>
      <c r="U68" s="410">
        <v>2022</v>
      </c>
      <c r="V68" s="465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</row>
    <row r="69" spans="1:38" s="44" customFormat="1" ht="10.5" customHeight="1">
      <c r="A69" s="463"/>
      <c r="B69" s="410">
        <v>2023</v>
      </c>
      <c r="C69" s="417">
        <v>0</v>
      </c>
      <c r="D69" s="294">
        <v>-31250</v>
      </c>
      <c r="E69" s="294">
        <v>-11432</v>
      </c>
      <c r="F69" s="294">
        <v>-5288</v>
      </c>
      <c r="G69" s="294">
        <v>33507</v>
      </c>
      <c r="H69" s="294">
        <v>-9017</v>
      </c>
      <c r="I69" s="294">
        <v>-2474</v>
      </c>
      <c r="J69" s="294">
        <v>-6215</v>
      </c>
      <c r="K69" s="294">
        <v>1690</v>
      </c>
      <c r="L69" s="294">
        <v>44612</v>
      </c>
      <c r="M69" s="294">
        <v>-1397</v>
      </c>
      <c r="N69" s="294">
        <v>3873</v>
      </c>
      <c r="O69" s="294">
        <v>15840</v>
      </c>
      <c r="P69" s="294">
        <v>-4457</v>
      </c>
      <c r="Q69" s="294">
        <v>-1800</v>
      </c>
      <c r="R69" s="294">
        <v>-8205</v>
      </c>
      <c r="S69" s="294">
        <v>-16300</v>
      </c>
      <c r="T69" s="295">
        <v>-1687</v>
      </c>
      <c r="U69" s="410">
        <v>2023</v>
      </c>
      <c r="V69" s="465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</row>
    <row r="70" spans="1:38" s="44" customFormat="1" ht="10.5" customHeight="1">
      <c r="A70" s="463"/>
      <c r="B70" s="51">
        <v>2024</v>
      </c>
      <c r="C70" s="417">
        <v>0</v>
      </c>
      <c r="D70" s="294">
        <v>-44692</v>
      </c>
      <c r="E70" s="294">
        <v>-13657</v>
      </c>
      <c r="F70" s="294">
        <v>-4712</v>
      </c>
      <c r="G70" s="294">
        <v>25643</v>
      </c>
      <c r="H70" s="294">
        <v>-7962</v>
      </c>
      <c r="I70" s="294">
        <v>-1693</v>
      </c>
      <c r="J70" s="294">
        <v>-4854</v>
      </c>
      <c r="K70" s="294">
        <v>2808</v>
      </c>
      <c r="L70" s="294">
        <v>64218</v>
      </c>
      <c r="M70" s="294">
        <v>-2527</v>
      </c>
      <c r="N70" s="294">
        <v>3245</v>
      </c>
      <c r="O70" s="294">
        <v>14664</v>
      </c>
      <c r="P70" s="294">
        <v>-6060</v>
      </c>
      <c r="Q70" s="294">
        <v>-3988</v>
      </c>
      <c r="R70" s="294">
        <v>-8003</v>
      </c>
      <c r="S70" s="294">
        <v>-9069</v>
      </c>
      <c r="T70" s="295">
        <v>-3361</v>
      </c>
      <c r="U70" s="51">
        <v>2024</v>
      </c>
      <c r="V70" s="465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</row>
    <row r="71" spans="1:38" s="44" customFormat="1" ht="10.5" customHeight="1">
      <c r="A71" s="463"/>
      <c r="B71" s="51">
        <v>2025</v>
      </c>
      <c r="C71" s="417">
        <v>0</v>
      </c>
      <c r="D71" s="294">
        <v>-26769</v>
      </c>
      <c r="E71" s="294">
        <v>-12181</v>
      </c>
      <c r="F71" s="294">
        <v>-4272</v>
      </c>
      <c r="G71" s="294">
        <v>32264</v>
      </c>
      <c r="H71" s="294">
        <v>-13678</v>
      </c>
      <c r="I71" s="294">
        <v>2824</v>
      </c>
      <c r="J71" s="294">
        <v>-5474</v>
      </c>
      <c r="K71" s="294">
        <v>-47</v>
      </c>
      <c r="L71" s="294">
        <v>32970</v>
      </c>
      <c r="M71" s="294">
        <v>-1387</v>
      </c>
      <c r="N71" s="294">
        <v>10789</v>
      </c>
      <c r="O71" s="294">
        <v>8266</v>
      </c>
      <c r="P71" s="294">
        <v>-3575</v>
      </c>
      <c r="Q71" s="294">
        <v>1334</v>
      </c>
      <c r="R71" s="294">
        <v>-9214</v>
      </c>
      <c r="S71" s="294">
        <v>-7577</v>
      </c>
      <c r="T71" s="295">
        <v>-4273</v>
      </c>
      <c r="U71" s="51">
        <v>2025</v>
      </c>
      <c r="V71" s="465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</row>
    <row r="72" spans="1:38" s="31" customFormat="1" ht="5.0999999999999996" customHeight="1" thickBot="1">
      <c r="A72" s="464"/>
      <c r="B72" s="239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32"/>
      <c r="V72" s="468"/>
    </row>
    <row r="73" spans="1:38" s="31" customFormat="1">
      <c r="A73" s="228"/>
      <c r="B73" s="47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33"/>
      <c r="V73" s="228"/>
    </row>
    <row r="74" spans="1:38" s="31" customFormat="1">
      <c r="A74" s="228"/>
      <c r="B74" s="47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33"/>
      <c r="V74" s="228"/>
    </row>
    <row r="75" spans="1:38"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2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</row>
    <row r="76" spans="1:38"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2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</row>
    <row r="77" spans="1:38"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2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</row>
    <row r="78" spans="1:38"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2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</row>
    <row r="79" spans="1:38"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2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</row>
    <row r="80" spans="1:38"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2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</row>
    <row r="81" spans="4:38"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2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</row>
    <row r="82" spans="4:38"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2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</row>
    <row r="83" spans="4:38"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2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</row>
    <row r="84" spans="4:38"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2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</row>
    <row r="85" spans="4:38"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2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</row>
    <row r="86" spans="4:38"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2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</row>
    <row r="87" spans="4:38"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2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</row>
    <row r="88" spans="4:38"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2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</row>
    <row r="89" spans="4:38"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2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</row>
    <row r="90" spans="4:38"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2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</row>
    <row r="91" spans="4:38"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2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</row>
    <row r="92" spans="4:38"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2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</row>
    <row r="93" spans="4:38"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2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</row>
    <row r="94" spans="4:38"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2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</row>
    <row r="95" spans="4:38"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2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</row>
    <row r="96" spans="4:38"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2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</row>
    <row r="97" spans="4:38"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2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</row>
    <row r="98" spans="4:38"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2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</row>
    <row r="99" spans="4:38"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2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</row>
    <row r="100" spans="4:38"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2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</row>
    <row r="101" spans="4:38"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2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</row>
    <row r="102" spans="4:38"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2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</row>
    <row r="103" spans="4:38"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2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</row>
    <row r="104" spans="4:38"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2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</row>
    <row r="105" spans="4:38"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2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</row>
    <row r="106" spans="4:38"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2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</row>
    <row r="107" spans="4:38"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2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</row>
    <row r="108" spans="4:38"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2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</row>
    <row r="109" spans="4:38"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2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</row>
    <row r="110" spans="4:38"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2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</row>
    <row r="111" spans="4:38"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2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</row>
    <row r="112" spans="4:38"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2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</row>
    <row r="113" spans="4:38"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2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</row>
    <row r="114" spans="4:38"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2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</row>
    <row r="115" spans="4:38"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2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</row>
    <row r="116" spans="4:38"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2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</row>
    <row r="117" spans="4:38"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2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</row>
    <row r="118" spans="4:38"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2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</row>
    <row r="119" spans="4:38"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2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</row>
    <row r="120" spans="4:38"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2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</row>
    <row r="121" spans="4:38"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2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</row>
    <row r="122" spans="4:38"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2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</row>
    <row r="123" spans="4:38"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2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</row>
    <row r="124" spans="4:38"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2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</row>
    <row r="125" spans="4:38"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2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</row>
    <row r="126" spans="4:38"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2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</row>
    <row r="127" spans="4:38"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2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</row>
    <row r="128" spans="4:38"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2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</row>
    <row r="129" spans="4:38"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2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</row>
    <row r="130" spans="4:38"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2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</row>
    <row r="131" spans="4:38"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2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</row>
    <row r="132" spans="4:38"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2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</row>
    <row r="133" spans="4:38"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2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</row>
    <row r="134" spans="4:38"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2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</row>
    <row r="135" spans="4:38"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2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</row>
    <row r="136" spans="4:38"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2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</row>
    <row r="137" spans="4:38"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2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</row>
    <row r="138" spans="4:38"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2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</row>
    <row r="139" spans="4:38"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2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</row>
    <row r="140" spans="4:38"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2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</row>
    <row r="141" spans="4:38"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2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</row>
    <row r="142" spans="4:38"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2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</row>
    <row r="143" spans="4:38"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2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</row>
    <row r="144" spans="4:38"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2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</row>
    <row r="145" spans="4:38"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2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</row>
    <row r="146" spans="4:38"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2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</row>
    <row r="147" spans="4:38"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2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</row>
    <row r="148" spans="4:38"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2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</row>
    <row r="149" spans="4:38"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2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</row>
    <row r="150" spans="4:38"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2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</row>
    <row r="151" spans="4:38"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2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</row>
    <row r="152" spans="4:38"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2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</row>
    <row r="153" spans="4:38"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2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</row>
    <row r="154" spans="4:38"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2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</row>
    <row r="155" spans="4:38"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2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</row>
    <row r="156" spans="4:38"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2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</row>
    <row r="157" spans="4:38"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2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</row>
    <row r="158" spans="4:38"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2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</row>
    <row r="159" spans="4:38"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2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</row>
    <row r="160" spans="4:38"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2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</row>
    <row r="161" spans="4:38"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2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</row>
    <row r="162" spans="4:38"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2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</row>
    <row r="163" spans="4:38"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2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</row>
    <row r="164" spans="4:38"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2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</row>
    <row r="165" spans="4:38"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2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</row>
    <row r="166" spans="4:38"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2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</row>
    <row r="167" spans="4:38"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2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</row>
    <row r="168" spans="4:38"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2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</row>
    <row r="169" spans="4:38"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2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</row>
    <row r="170" spans="4:38"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2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</row>
    <row r="171" spans="4:38"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2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</row>
    <row r="172" spans="4:38"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2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</row>
    <row r="173" spans="4:38"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2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</row>
    <row r="174" spans="4:38"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2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</row>
    <row r="175" spans="4:38"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2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</row>
    <row r="176" spans="4:38"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2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</row>
    <row r="177" spans="4:38"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2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</row>
    <row r="178" spans="4:38"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2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</row>
    <row r="179" spans="4:38"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2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</row>
    <row r="180" spans="4:38"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2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</row>
    <row r="181" spans="4:38"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2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</row>
    <row r="182" spans="4:38"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2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</row>
    <row r="183" spans="4:38"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2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</row>
    <row r="184" spans="4:38"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2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</row>
    <row r="185" spans="4:38"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2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</row>
    <row r="186" spans="4:38"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2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</row>
    <row r="187" spans="4:38"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2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</row>
    <row r="188" spans="4:38"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2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</row>
    <row r="189" spans="4:38"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2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</row>
    <row r="190" spans="4:38"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2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</row>
    <row r="191" spans="4:38"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2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</row>
    <row r="192" spans="4:38"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2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</row>
    <row r="193" spans="4:38"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2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</row>
    <row r="194" spans="4:38"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2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</row>
    <row r="195" spans="4:38"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2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</row>
    <row r="196" spans="4:38"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2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</row>
    <row r="197" spans="4:38"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2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</row>
    <row r="198" spans="4:38"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2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</row>
    <row r="199" spans="4:38"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2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</row>
    <row r="200" spans="4:38"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2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</row>
    <row r="201" spans="4:38"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2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</row>
    <row r="202" spans="4:38"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2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</row>
    <row r="203" spans="4:38"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2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</row>
    <row r="204" spans="4:38"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2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</row>
    <row r="205" spans="4:38"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2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</row>
    <row r="206" spans="4:38"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2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</row>
    <row r="207" spans="4:38"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2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</row>
    <row r="208" spans="4:38"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2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</row>
    <row r="209" spans="4:38"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2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</row>
    <row r="210" spans="4:38"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2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</row>
    <row r="211" spans="4:38"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2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</row>
    <row r="212" spans="4:38"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2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</row>
    <row r="213" spans="4:38"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2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</row>
    <row r="214" spans="4:38"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2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</row>
    <row r="215" spans="4:38"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2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</row>
    <row r="216" spans="4:38"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2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</row>
    <row r="217" spans="4:38"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2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</row>
    <row r="218" spans="4:38"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2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</row>
    <row r="219" spans="4:38"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2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</row>
    <row r="220" spans="4:38"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2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</row>
    <row r="221" spans="4:38"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2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</row>
    <row r="222" spans="4:38"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2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</row>
    <row r="223" spans="4:38"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2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</row>
    <row r="224" spans="4:38"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2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</row>
    <row r="225" spans="4:38"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2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</row>
    <row r="226" spans="4:38"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2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</row>
    <row r="227" spans="4:38"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2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</row>
    <row r="228" spans="4:38"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2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</row>
    <row r="229" spans="4:38"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2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</row>
    <row r="230" spans="4:38"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2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</row>
    <row r="231" spans="4:38"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2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</row>
    <row r="232" spans="4:38"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2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</row>
    <row r="233" spans="4:38"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2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</row>
    <row r="234" spans="4:38"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2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</row>
    <row r="235" spans="4:38"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2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</row>
    <row r="236" spans="4:38"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2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</row>
    <row r="237" spans="4:38"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2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</row>
    <row r="238" spans="4:38"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2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</row>
    <row r="239" spans="4:38"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2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</row>
    <row r="240" spans="4:38"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2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</row>
    <row r="241" spans="4:38"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2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</row>
    <row r="242" spans="4:38"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2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</row>
    <row r="243" spans="4:38"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2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</row>
    <row r="244" spans="4:38"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2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</row>
    <row r="245" spans="4:38"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2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</row>
    <row r="246" spans="4:38"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2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</row>
    <row r="247" spans="4:38"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2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</row>
    <row r="248" spans="4:38"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2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</row>
    <row r="249" spans="4:38"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2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</row>
    <row r="250" spans="4:38"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2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</row>
    <row r="251" spans="4:38"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2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</row>
    <row r="252" spans="4:38"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2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</row>
    <row r="253" spans="4:38"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2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</row>
    <row r="254" spans="4:38"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2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</row>
    <row r="255" spans="4:38"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2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</row>
    <row r="256" spans="4:38"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2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</row>
    <row r="257" spans="4:38"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2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</row>
    <row r="258" spans="4:38"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2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</row>
    <row r="259" spans="4:38"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2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</row>
    <row r="260" spans="4:38"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2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</row>
    <row r="261" spans="4:38"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2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</row>
    <row r="262" spans="4:38"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2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</row>
    <row r="263" spans="4:38"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2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</row>
    <row r="264" spans="4:38"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2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</row>
    <row r="265" spans="4:38"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2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</row>
    <row r="266" spans="4:38"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2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</row>
    <row r="267" spans="4:38"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2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</row>
    <row r="268" spans="4:38"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2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</row>
    <row r="269" spans="4:38"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2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</row>
    <row r="270" spans="4:38"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2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</row>
    <row r="271" spans="4:38"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2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</row>
    <row r="272" spans="4:38"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2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</row>
    <row r="273" spans="4:38"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2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</row>
    <row r="274" spans="4:38"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2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</row>
    <row r="275" spans="4:38"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2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</row>
    <row r="276" spans="4:38"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2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</row>
    <row r="277" spans="4:38"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2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</row>
    <row r="278" spans="4:38"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2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</row>
    <row r="279" spans="4:38"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2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</row>
    <row r="280" spans="4:38"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2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</row>
    <row r="281" spans="4:38"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2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</row>
    <row r="282" spans="4:38"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2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</row>
    <row r="283" spans="4:38"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2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</row>
    <row r="284" spans="4:38"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2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</row>
    <row r="285" spans="4:38"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2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</row>
    <row r="286" spans="4:38"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2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</row>
    <row r="287" spans="4:38"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2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</row>
    <row r="288" spans="4:38"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2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</row>
    <row r="289" spans="4:38"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2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</row>
    <row r="290" spans="4:38"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2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</row>
    <row r="291" spans="4:38"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2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</row>
    <row r="292" spans="4:38"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2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</row>
    <row r="293" spans="4:38"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2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</row>
    <row r="294" spans="4:38"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2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</row>
    <row r="295" spans="4:38"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2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</row>
    <row r="296" spans="4:38"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2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</row>
    <row r="297" spans="4:38"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2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</row>
    <row r="298" spans="4:38"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2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</row>
    <row r="299" spans="4:38"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2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</row>
    <row r="300" spans="4:38"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2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</row>
    <row r="301" spans="4:38"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2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</row>
    <row r="302" spans="4:38"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2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</row>
    <row r="303" spans="4:38"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2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</row>
    <row r="304" spans="4:38"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2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</row>
    <row r="305" spans="4:38"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2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</row>
    <row r="306" spans="4:38"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2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</row>
    <row r="307" spans="4:38"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2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</row>
    <row r="308" spans="4:38"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2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</row>
    <row r="309" spans="4:38"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2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</row>
    <row r="310" spans="4:38"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2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</row>
    <row r="311" spans="4:38"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2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</row>
    <row r="312" spans="4:38"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2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</row>
    <row r="313" spans="4:38"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2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</row>
    <row r="314" spans="4:38"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2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</row>
    <row r="315" spans="4:38"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2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</row>
    <row r="316" spans="4:38"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2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</row>
    <row r="317" spans="4:38"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2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</row>
    <row r="318" spans="4:38"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2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</row>
    <row r="319" spans="4:38"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2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</row>
    <row r="320" spans="4:38"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2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</row>
    <row r="321" spans="4:38"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2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</row>
    <row r="322" spans="4:38"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2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</row>
    <row r="323" spans="4:38"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2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</row>
    <row r="324" spans="4:38"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2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</row>
    <row r="325" spans="4:38"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2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</row>
    <row r="326" spans="4:38"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2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</row>
    <row r="327" spans="4:38"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2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</row>
    <row r="328" spans="4:38"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2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</row>
    <row r="329" spans="4:38"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2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</row>
    <row r="330" spans="4:38"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2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</row>
    <row r="331" spans="4:38"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2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</row>
    <row r="332" spans="4:38"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2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</row>
    <row r="333" spans="4:38"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2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</row>
    <row r="334" spans="4:38"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2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</row>
    <row r="335" spans="4:38"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2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</row>
    <row r="336" spans="4:38"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2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</row>
    <row r="337" spans="4:38"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2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</row>
    <row r="338" spans="4:38"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2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</row>
    <row r="339" spans="4:38"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2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</row>
    <row r="340" spans="4:38"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2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</row>
    <row r="341" spans="4:38"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2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</row>
    <row r="342" spans="4:38"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2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</row>
    <row r="343" spans="4:38"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2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</row>
    <row r="344" spans="4:38"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2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</row>
    <row r="345" spans="4:38"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2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</row>
    <row r="346" spans="4:38"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2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</row>
    <row r="347" spans="4:38"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2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</row>
    <row r="348" spans="4:38"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2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</row>
    <row r="349" spans="4:38"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2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</row>
    <row r="350" spans="4:38"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2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</row>
    <row r="351" spans="4:38"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2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</row>
    <row r="352" spans="4:38"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2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</row>
    <row r="353" spans="4:38"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2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</row>
    <row r="354" spans="4:38"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2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</row>
    <row r="355" spans="4:38"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2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</row>
    <row r="356" spans="4:38"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2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</row>
    <row r="357" spans="4:38"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2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</row>
    <row r="358" spans="4:38"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2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</row>
    <row r="359" spans="4:38"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2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</row>
    <row r="360" spans="4:38"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2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</row>
    <row r="361" spans="4:38"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2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</row>
    <row r="362" spans="4:38"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2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</row>
    <row r="363" spans="4:38"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2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</row>
    <row r="364" spans="4:38"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2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</row>
    <row r="365" spans="4:38"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2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</row>
    <row r="366" spans="4:38"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2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</row>
    <row r="367" spans="4:38"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2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</row>
    <row r="368" spans="4:38"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2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</row>
    <row r="369" spans="4:38"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2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</row>
    <row r="370" spans="4:38"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2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</row>
    <row r="371" spans="4:38"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2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</row>
    <row r="372" spans="4:38"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2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</row>
    <row r="373" spans="4:38"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2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</row>
    <row r="374" spans="4:38"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2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</row>
    <row r="375" spans="4:38"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2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</row>
    <row r="376" spans="4:38"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2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</row>
    <row r="377" spans="4:38"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2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</row>
    <row r="378" spans="4:38"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2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</row>
    <row r="379" spans="4:38"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2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</row>
    <row r="380" spans="4:38"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2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</row>
    <row r="381" spans="4:38"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2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</row>
    <row r="382" spans="4:38"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2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</row>
    <row r="383" spans="4:38"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2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</row>
    <row r="384" spans="4:38"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2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</row>
    <row r="385" spans="4:38"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2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</row>
    <row r="386" spans="4:38"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2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</row>
    <row r="387" spans="4:38"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2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</row>
    <row r="388" spans="4:38"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2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</row>
    <row r="389" spans="4:38"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2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</row>
    <row r="390" spans="4:38"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2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</row>
    <row r="391" spans="4:38"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2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</row>
    <row r="392" spans="4:38"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2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</row>
    <row r="393" spans="4:38"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2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</row>
    <row r="394" spans="4:38"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2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</row>
    <row r="395" spans="4:38"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2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</row>
    <row r="396" spans="4:38"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2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</row>
    <row r="397" spans="4:38"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2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</row>
    <row r="398" spans="4:38"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2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</row>
    <row r="399" spans="4:38"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2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</row>
    <row r="400" spans="4:38"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2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</row>
    <row r="401" spans="4:38"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2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</row>
    <row r="402" spans="4:38"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2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</row>
    <row r="403" spans="4:38"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2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</row>
    <row r="404" spans="4:38"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2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</row>
    <row r="405" spans="4:38"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2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</row>
    <row r="406" spans="4:38"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2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</row>
    <row r="407" spans="4:38"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2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</row>
    <row r="408" spans="4:38"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2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</row>
    <row r="409" spans="4:38"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2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</row>
    <row r="410" spans="4:38"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2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</row>
    <row r="411" spans="4:38"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2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</row>
    <row r="412" spans="4:38"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2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</row>
    <row r="413" spans="4:38"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2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</row>
    <row r="414" spans="4:38"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2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</row>
    <row r="415" spans="4:38"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2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</row>
    <row r="416" spans="4:38"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2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</row>
    <row r="417" spans="4:38"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2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</row>
    <row r="418" spans="4:38"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2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</row>
    <row r="419" spans="4:38"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2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</row>
    <row r="420" spans="4:38"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2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</row>
    <row r="421" spans="4:38"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2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</row>
    <row r="422" spans="4:38"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2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</row>
    <row r="423" spans="4:38"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2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</row>
    <row r="424" spans="4:38"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2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</row>
  </sheetData>
  <mergeCells count="9">
    <mergeCell ref="A51:A72"/>
    <mergeCell ref="V5:V25"/>
    <mergeCell ref="V27:V49"/>
    <mergeCell ref="V51:V72"/>
    <mergeCell ref="L1:O1"/>
    <mergeCell ref="A3:B3"/>
    <mergeCell ref="U3:V3"/>
    <mergeCell ref="A5:A25"/>
    <mergeCell ref="A27:A49"/>
  </mergeCells>
  <phoneticPr fontId="2" type="noConversion"/>
  <conditionalFormatting sqref="D51:T71">
    <cfRule type="cellIs" dxfId="8" priority="1" operator="between">
      <formula>-1</formula>
      <formula>-999</formula>
    </cfRule>
  </conditionalFormatting>
  <printOptions horizontalCentered="1"/>
  <pageMargins left="0.78740157480314965" right="0.78740157480314965" top="0.78740157480314965" bottom="0.47244094488188981" header="0.51181102362204722" footer="1.0629921259842521"/>
  <pageSetup paperSize="9" scale="95" firstPageNumber="22" orientation="portrait" horizontalDpi="1200" verticalDpi="1200" r:id="rId1"/>
  <headerFooter alignWithMargins="0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T62"/>
  <sheetViews>
    <sheetView showGridLines="0" view="pageBreakPreview" zoomScaleNormal="100" zoomScaleSheetLayoutView="100" workbookViewId="0">
      <pane ySplit="5" topLeftCell="A6" activePane="bottomLeft" state="frozen"/>
      <selection activeCell="S12" sqref="S12"/>
      <selection pane="bottomLeft" activeCell="A6" sqref="A6:A24"/>
    </sheetView>
  </sheetViews>
  <sheetFormatPr defaultRowHeight="13.5"/>
  <cols>
    <col min="1" max="1" width="4.625" customWidth="1"/>
    <col min="2" max="2" width="8.125" style="1" customWidth="1"/>
    <col min="3" max="9" width="10" customWidth="1"/>
    <col min="10" max="10" width="9.375" customWidth="1"/>
    <col min="11" max="17" width="10" style="31" customWidth="1"/>
    <col min="18" max="18" width="9.375" style="31" customWidth="1"/>
    <col min="19" max="19" width="8.125" style="78" customWidth="1"/>
    <col min="20" max="20" width="4.625" style="3" customWidth="1"/>
  </cols>
  <sheetData>
    <row r="1" spans="1:20" s="2" customFormat="1" ht="18.75" customHeight="1">
      <c r="A1" s="67" t="str">
        <f>"4. 시도·성별 이동자 수 및 이동률, "&amp;표지!G5</f>
        <v>4. 시도·성별 이동자 수 및 이동률, 2025</v>
      </c>
      <c r="B1" s="67"/>
      <c r="C1" s="67"/>
      <c r="D1" s="67"/>
      <c r="E1" s="67"/>
      <c r="F1" s="67"/>
      <c r="G1" s="67"/>
      <c r="H1" s="67"/>
      <c r="I1" s="67"/>
      <c r="K1" s="110"/>
      <c r="L1" s="110"/>
      <c r="M1" s="110"/>
      <c r="N1" s="110"/>
      <c r="O1" s="110"/>
      <c r="P1" s="110"/>
      <c r="Q1" s="110"/>
      <c r="R1" s="110"/>
      <c r="S1" s="89"/>
      <c r="T1" s="89"/>
    </row>
    <row r="2" spans="1:20" s="4" customFormat="1" ht="15" customHeight="1" thickBot="1">
      <c r="B2" s="5"/>
      <c r="J2" s="16"/>
      <c r="K2" s="27"/>
      <c r="L2" s="27"/>
      <c r="M2" s="27"/>
      <c r="N2" s="27"/>
      <c r="O2" s="27"/>
      <c r="P2" s="27"/>
      <c r="Q2" s="27"/>
      <c r="R2" s="27"/>
      <c r="T2" s="56" t="s">
        <v>47</v>
      </c>
    </row>
    <row r="3" spans="1:20" s="6" customFormat="1" ht="15" customHeight="1">
      <c r="A3" s="492" t="s">
        <v>77</v>
      </c>
      <c r="B3" s="433" t="s">
        <v>78</v>
      </c>
      <c r="C3" s="433" t="s">
        <v>68</v>
      </c>
      <c r="D3" s="476"/>
      <c r="E3" s="431" t="s">
        <v>73</v>
      </c>
      <c r="F3" s="478"/>
      <c r="G3" s="433"/>
      <c r="H3" s="476" t="s">
        <v>69</v>
      </c>
      <c r="I3" s="476"/>
      <c r="J3" s="431" t="s">
        <v>70</v>
      </c>
      <c r="K3" s="495" t="s">
        <v>71</v>
      </c>
      <c r="L3" s="496"/>
      <c r="M3" s="499" t="s">
        <v>66</v>
      </c>
      <c r="N3" s="500"/>
      <c r="O3" s="495"/>
      <c r="P3" s="496" t="s">
        <v>67</v>
      </c>
      <c r="Q3" s="496"/>
      <c r="R3" s="499" t="s">
        <v>72</v>
      </c>
      <c r="S3" s="431" t="s">
        <v>78</v>
      </c>
      <c r="T3" s="481" t="s">
        <v>77</v>
      </c>
    </row>
    <row r="4" spans="1:20" s="6" customFormat="1" ht="15" customHeight="1">
      <c r="A4" s="493"/>
      <c r="B4" s="434"/>
      <c r="C4" s="434"/>
      <c r="D4" s="477"/>
      <c r="E4" s="477" t="s">
        <v>1</v>
      </c>
      <c r="F4" s="432" t="s">
        <v>2</v>
      </c>
      <c r="G4" s="434"/>
      <c r="H4" s="477"/>
      <c r="I4" s="477"/>
      <c r="J4" s="432"/>
      <c r="K4" s="497"/>
      <c r="L4" s="498"/>
      <c r="M4" s="498" t="s">
        <v>1</v>
      </c>
      <c r="N4" s="501" t="s">
        <v>2</v>
      </c>
      <c r="O4" s="497"/>
      <c r="P4" s="498"/>
      <c r="Q4" s="498"/>
      <c r="R4" s="501"/>
      <c r="S4" s="432"/>
      <c r="T4" s="482"/>
    </row>
    <row r="5" spans="1:20" s="6" customFormat="1" ht="15" customHeight="1">
      <c r="A5" s="494"/>
      <c r="B5" s="434"/>
      <c r="C5" s="13" t="s">
        <v>3</v>
      </c>
      <c r="D5" s="9" t="s">
        <v>4</v>
      </c>
      <c r="E5" s="477"/>
      <c r="F5" s="9" t="s">
        <v>3</v>
      </c>
      <c r="G5" s="13" t="s">
        <v>4</v>
      </c>
      <c r="H5" s="9" t="s">
        <v>3</v>
      </c>
      <c r="I5" s="9" t="s">
        <v>4</v>
      </c>
      <c r="J5" s="432"/>
      <c r="K5" s="111" t="s">
        <v>3</v>
      </c>
      <c r="L5" s="29" t="s">
        <v>4</v>
      </c>
      <c r="M5" s="498"/>
      <c r="N5" s="29" t="s">
        <v>3</v>
      </c>
      <c r="O5" s="111" t="s">
        <v>4</v>
      </c>
      <c r="P5" s="29" t="s">
        <v>3</v>
      </c>
      <c r="Q5" s="29" t="s">
        <v>4</v>
      </c>
      <c r="R5" s="501"/>
      <c r="S5" s="432"/>
      <c r="T5" s="483"/>
    </row>
    <row r="6" spans="1:20" s="6" customFormat="1" ht="6.95" customHeight="1">
      <c r="A6" s="487" t="s">
        <v>76</v>
      </c>
      <c r="B6" s="14"/>
      <c r="C6" s="7"/>
      <c r="D6" s="8"/>
      <c r="E6" s="8"/>
      <c r="F6" s="8"/>
      <c r="G6" s="8"/>
      <c r="H6" s="8"/>
      <c r="I6" s="8"/>
      <c r="J6" s="8"/>
      <c r="K6" s="7"/>
      <c r="L6" s="7"/>
      <c r="M6" s="7"/>
      <c r="N6" s="7"/>
      <c r="O6" s="7"/>
      <c r="P6" s="7"/>
      <c r="Q6" s="7"/>
      <c r="R6" s="7"/>
      <c r="S6" s="18"/>
      <c r="T6" s="484" t="s">
        <v>76</v>
      </c>
    </row>
    <row r="7" spans="1:20" s="36" customFormat="1" ht="11.45" customHeight="1">
      <c r="A7" s="487"/>
      <c r="B7" s="98" t="s">
        <v>5</v>
      </c>
      <c r="C7" s="35">
        <v>6117784</v>
      </c>
      <c r="D7" s="35">
        <v>6117784</v>
      </c>
      <c r="E7" s="35">
        <v>2095832</v>
      </c>
      <c r="F7" s="35">
        <v>1836039</v>
      </c>
      <c r="G7" s="35">
        <v>1836039</v>
      </c>
      <c r="H7" s="35">
        <v>2185913</v>
      </c>
      <c r="I7" s="35">
        <v>2185913</v>
      </c>
      <c r="J7" s="296">
        <v>0</v>
      </c>
      <c r="K7" s="112">
        <v>12.010031615999999</v>
      </c>
      <c r="L7" s="112">
        <v>12.010031615999999</v>
      </c>
      <c r="M7" s="112">
        <v>4.1143996879999998</v>
      </c>
      <c r="N7" s="112">
        <v>3.6043911390000001</v>
      </c>
      <c r="O7" s="112">
        <v>3.6043911390000001</v>
      </c>
      <c r="P7" s="112">
        <v>4.2912407889999997</v>
      </c>
      <c r="Q7" s="112">
        <v>4.2912407889999997</v>
      </c>
      <c r="R7" s="337">
        <v>0</v>
      </c>
      <c r="S7" s="99" t="s">
        <v>5</v>
      </c>
      <c r="T7" s="484"/>
    </row>
    <row r="8" spans="1:20" s="36" customFormat="1" ht="11.45" customHeight="1">
      <c r="A8" s="487"/>
      <c r="B8" s="98" t="s">
        <v>6</v>
      </c>
      <c r="C8" s="35">
        <v>1244928</v>
      </c>
      <c r="D8" s="35">
        <v>1271697</v>
      </c>
      <c r="E8" s="35">
        <v>303656</v>
      </c>
      <c r="F8" s="35">
        <v>502945</v>
      </c>
      <c r="G8" s="35">
        <v>502945</v>
      </c>
      <c r="H8" s="35">
        <v>438327</v>
      </c>
      <c r="I8" s="35">
        <v>465096</v>
      </c>
      <c r="J8" s="296">
        <v>-26769</v>
      </c>
      <c r="K8" s="112">
        <v>13.462617259</v>
      </c>
      <c r="L8" s="112">
        <v>13.752096491</v>
      </c>
      <c r="M8" s="112">
        <v>3.2837276590000002</v>
      </c>
      <c r="N8" s="112">
        <v>5.4388334409999999</v>
      </c>
      <c r="O8" s="112">
        <v>5.4388334409999999</v>
      </c>
      <c r="P8" s="112">
        <v>4.74005616</v>
      </c>
      <c r="Q8" s="112">
        <v>5.0295353919999997</v>
      </c>
      <c r="R8" s="337">
        <v>-0.28947923199999998</v>
      </c>
      <c r="S8" s="99" t="s">
        <v>6</v>
      </c>
      <c r="T8" s="484"/>
    </row>
    <row r="9" spans="1:20" s="36" customFormat="1" ht="11.45" customHeight="1">
      <c r="A9" s="487"/>
      <c r="B9" s="279" t="s">
        <v>7</v>
      </c>
      <c r="C9" s="280">
        <v>362416</v>
      </c>
      <c r="D9" s="280">
        <v>374597</v>
      </c>
      <c r="E9" s="280">
        <v>98453</v>
      </c>
      <c r="F9" s="280">
        <v>157725</v>
      </c>
      <c r="G9" s="280">
        <v>157725</v>
      </c>
      <c r="H9" s="280">
        <v>106238</v>
      </c>
      <c r="I9" s="280">
        <v>118419</v>
      </c>
      <c r="J9" s="297">
        <v>-12181</v>
      </c>
      <c r="K9" s="112">
        <v>11.184117033</v>
      </c>
      <c r="L9" s="112">
        <v>11.560021323999999</v>
      </c>
      <c r="M9" s="112">
        <v>3.0382485159999999</v>
      </c>
      <c r="N9" s="112">
        <v>4.8673757750000002</v>
      </c>
      <c r="O9" s="112">
        <v>4.8673757750000002</v>
      </c>
      <c r="P9" s="112">
        <v>3.278492741</v>
      </c>
      <c r="Q9" s="112">
        <v>3.654397033</v>
      </c>
      <c r="R9" s="337">
        <v>-0.375904291</v>
      </c>
      <c r="S9" s="281" t="s">
        <v>7</v>
      </c>
      <c r="T9" s="484"/>
    </row>
    <row r="10" spans="1:20" s="36" customFormat="1" ht="11.45" customHeight="1">
      <c r="A10" s="487"/>
      <c r="B10" s="279" t="s">
        <v>8</v>
      </c>
      <c r="C10" s="280">
        <v>268468</v>
      </c>
      <c r="D10" s="280">
        <v>272740</v>
      </c>
      <c r="E10" s="280">
        <v>79840</v>
      </c>
      <c r="F10" s="280">
        <v>103716</v>
      </c>
      <c r="G10" s="280">
        <v>103716</v>
      </c>
      <c r="H10" s="280">
        <v>84912</v>
      </c>
      <c r="I10" s="280">
        <v>89184</v>
      </c>
      <c r="J10" s="297">
        <v>-4272</v>
      </c>
      <c r="K10" s="112">
        <v>11.421983024999999</v>
      </c>
      <c r="L10" s="112">
        <v>11.603735455000001</v>
      </c>
      <c r="M10" s="112">
        <v>3.396796358</v>
      </c>
      <c r="N10" s="112">
        <v>4.4126018419999999</v>
      </c>
      <c r="O10" s="112">
        <v>4.4126018419999999</v>
      </c>
      <c r="P10" s="112">
        <v>3.6125848239999998</v>
      </c>
      <c r="Q10" s="112">
        <v>3.7943372549999999</v>
      </c>
      <c r="R10" s="337">
        <v>-0.18175242999999999</v>
      </c>
      <c r="S10" s="281" t="s">
        <v>8</v>
      </c>
      <c r="T10" s="484"/>
    </row>
    <row r="11" spans="1:20" s="36" customFormat="1" ht="11.45" customHeight="1">
      <c r="A11" s="487"/>
      <c r="B11" s="279" t="s">
        <v>9</v>
      </c>
      <c r="C11" s="280">
        <v>395525</v>
      </c>
      <c r="D11" s="280">
        <v>363261</v>
      </c>
      <c r="E11" s="280">
        <v>122469</v>
      </c>
      <c r="F11" s="280">
        <v>110822</v>
      </c>
      <c r="G11" s="280">
        <v>110822</v>
      </c>
      <c r="H11" s="280">
        <v>162234</v>
      </c>
      <c r="I11" s="280">
        <v>129970</v>
      </c>
      <c r="J11" s="297">
        <v>32264</v>
      </c>
      <c r="K11" s="112">
        <v>13.091899324</v>
      </c>
      <c r="L11" s="112">
        <v>12.023959144000001</v>
      </c>
      <c r="M11" s="112">
        <v>4.0537306580000001</v>
      </c>
      <c r="N11" s="112">
        <v>3.6682143150000002</v>
      </c>
      <c r="O11" s="112">
        <v>3.6682143150000002</v>
      </c>
      <c r="P11" s="112">
        <v>5.3699543519999997</v>
      </c>
      <c r="Q11" s="112">
        <v>4.3020141709999997</v>
      </c>
      <c r="R11" s="337">
        <v>1.0679401799999999</v>
      </c>
      <c r="S11" s="281" t="s">
        <v>9</v>
      </c>
      <c r="T11" s="484"/>
    </row>
    <row r="12" spans="1:20" s="36" customFormat="1" ht="11.45" customHeight="1">
      <c r="A12" s="487"/>
      <c r="B12" s="279" t="s">
        <v>10</v>
      </c>
      <c r="C12" s="280">
        <v>162873</v>
      </c>
      <c r="D12" s="280">
        <v>176551</v>
      </c>
      <c r="E12" s="280">
        <v>52858</v>
      </c>
      <c r="F12" s="280">
        <v>56288</v>
      </c>
      <c r="G12" s="280">
        <v>56288</v>
      </c>
      <c r="H12" s="280">
        <v>53727</v>
      </c>
      <c r="I12" s="280">
        <v>67405</v>
      </c>
      <c r="J12" s="297">
        <v>-13678</v>
      </c>
      <c r="K12" s="112">
        <v>11.66807736</v>
      </c>
      <c r="L12" s="112">
        <v>12.647957157</v>
      </c>
      <c r="M12" s="112">
        <v>3.7867002699999999</v>
      </c>
      <c r="N12" s="112">
        <v>4.0324224299999996</v>
      </c>
      <c r="O12" s="112">
        <v>4.0324224299999996</v>
      </c>
      <c r="P12" s="112">
        <v>3.84895466</v>
      </c>
      <c r="Q12" s="112">
        <v>4.8288344570000001</v>
      </c>
      <c r="R12" s="337">
        <v>-0.97987979700000005</v>
      </c>
      <c r="S12" s="281" t="s">
        <v>10</v>
      </c>
      <c r="T12" s="484"/>
    </row>
    <row r="13" spans="1:20" s="36" customFormat="1" ht="11.45" customHeight="1">
      <c r="A13" s="487"/>
      <c r="B13" s="279" t="s">
        <v>11</v>
      </c>
      <c r="C13" s="280">
        <v>207372</v>
      </c>
      <c r="D13" s="280">
        <v>204548</v>
      </c>
      <c r="E13" s="280">
        <v>58381</v>
      </c>
      <c r="F13" s="280">
        <v>68979</v>
      </c>
      <c r="G13" s="280">
        <v>68979</v>
      </c>
      <c r="H13" s="280">
        <v>80012</v>
      </c>
      <c r="I13" s="280">
        <v>77188</v>
      </c>
      <c r="J13" s="297">
        <v>2824</v>
      </c>
      <c r="K13" s="112">
        <v>14.452823350999999</v>
      </c>
      <c r="L13" s="112">
        <v>14.256004237000001</v>
      </c>
      <c r="M13" s="112">
        <v>4.0688727509999998</v>
      </c>
      <c r="N13" s="112">
        <v>4.8075019860000001</v>
      </c>
      <c r="O13" s="112">
        <v>4.8075019860000001</v>
      </c>
      <c r="P13" s="112">
        <v>5.5764486140000002</v>
      </c>
      <c r="Q13" s="112">
        <v>5.3796295010000001</v>
      </c>
      <c r="R13" s="337">
        <v>0.19681911299999999</v>
      </c>
      <c r="S13" s="281" t="s">
        <v>11</v>
      </c>
      <c r="T13" s="484"/>
    </row>
    <row r="14" spans="1:20" s="36" customFormat="1" ht="11.45" customHeight="1">
      <c r="A14" s="487"/>
      <c r="B14" s="279" t="s">
        <v>12</v>
      </c>
      <c r="C14" s="280">
        <v>114205</v>
      </c>
      <c r="D14" s="280">
        <v>119679</v>
      </c>
      <c r="E14" s="280">
        <v>35920</v>
      </c>
      <c r="F14" s="280">
        <v>37226</v>
      </c>
      <c r="G14" s="280">
        <v>37226</v>
      </c>
      <c r="H14" s="280">
        <v>41059</v>
      </c>
      <c r="I14" s="280">
        <v>46533</v>
      </c>
      <c r="J14" s="297">
        <v>-5474</v>
      </c>
      <c r="K14" s="112">
        <v>10.459248039</v>
      </c>
      <c r="L14" s="112">
        <v>10.960573932999999</v>
      </c>
      <c r="M14" s="112">
        <v>3.2896649839999998</v>
      </c>
      <c r="N14" s="112">
        <v>3.409272514</v>
      </c>
      <c r="O14" s="112">
        <v>3.409272514</v>
      </c>
      <c r="P14" s="112">
        <v>3.7603105399999999</v>
      </c>
      <c r="Q14" s="112">
        <v>4.2616364339999997</v>
      </c>
      <c r="R14" s="337">
        <v>-0.50132589400000005</v>
      </c>
      <c r="S14" s="281" t="s">
        <v>12</v>
      </c>
      <c r="T14" s="484"/>
    </row>
    <row r="15" spans="1:20" s="36" customFormat="1" ht="11.45" customHeight="1">
      <c r="A15" s="487"/>
      <c r="B15" s="279" t="s">
        <v>167</v>
      </c>
      <c r="C15" s="280">
        <v>54355</v>
      </c>
      <c r="D15" s="280">
        <v>54402</v>
      </c>
      <c r="E15" s="280">
        <v>21007</v>
      </c>
      <c r="F15" s="282">
        <v>0</v>
      </c>
      <c r="G15" s="282">
        <v>0</v>
      </c>
      <c r="H15" s="280">
        <v>33348</v>
      </c>
      <c r="I15" s="280">
        <v>33395</v>
      </c>
      <c r="J15" s="297">
        <v>-47</v>
      </c>
      <c r="K15" s="112">
        <v>13.918460941999999</v>
      </c>
      <c r="L15" s="112">
        <v>13.930496037999999</v>
      </c>
      <c r="M15" s="112">
        <v>5.3791759539999999</v>
      </c>
      <c r="N15" s="112">
        <v>0</v>
      </c>
      <c r="O15" s="112">
        <v>0</v>
      </c>
      <c r="P15" s="112">
        <v>8.5392849870000003</v>
      </c>
      <c r="Q15" s="112">
        <v>8.5513200840000003</v>
      </c>
      <c r="R15" s="337">
        <v>-1.2035000000000001E-2</v>
      </c>
      <c r="S15" s="281" t="s">
        <v>167</v>
      </c>
      <c r="T15" s="484"/>
    </row>
    <row r="16" spans="1:20" s="36" customFormat="1" ht="11.45" customHeight="1">
      <c r="A16" s="487"/>
      <c r="B16" s="279" t="s">
        <v>13</v>
      </c>
      <c r="C16" s="280">
        <v>1628873</v>
      </c>
      <c r="D16" s="280">
        <v>1595903</v>
      </c>
      <c r="E16" s="280">
        <v>595484</v>
      </c>
      <c r="F16" s="280">
        <v>491577</v>
      </c>
      <c r="G16" s="280">
        <v>491577</v>
      </c>
      <c r="H16" s="280">
        <v>541812</v>
      </c>
      <c r="I16" s="280">
        <v>508842</v>
      </c>
      <c r="J16" s="297">
        <v>32970</v>
      </c>
      <c r="K16" s="112">
        <v>11.934556312</v>
      </c>
      <c r="L16" s="112">
        <v>11.692989091999999</v>
      </c>
      <c r="M16" s="112">
        <v>4.3630395560000004</v>
      </c>
      <c r="N16" s="112">
        <v>3.6017254799999998</v>
      </c>
      <c r="O16" s="112">
        <v>3.6017254799999998</v>
      </c>
      <c r="P16" s="112">
        <v>3.969791276</v>
      </c>
      <c r="Q16" s="112">
        <v>3.7282240560000002</v>
      </c>
      <c r="R16" s="337">
        <v>0.24156722</v>
      </c>
      <c r="S16" s="281" t="s">
        <v>13</v>
      </c>
      <c r="T16" s="484"/>
    </row>
    <row r="17" spans="1:20" s="36" customFormat="1" ht="11.45" customHeight="1">
      <c r="A17" s="487"/>
      <c r="B17" s="279" t="s">
        <v>14</v>
      </c>
      <c r="C17" s="280">
        <v>182825</v>
      </c>
      <c r="D17" s="280">
        <v>184212</v>
      </c>
      <c r="E17" s="280">
        <v>83411</v>
      </c>
      <c r="F17" s="280">
        <v>30259</v>
      </c>
      <c r="G17" s="280">
        <v>30259</v>
      </c>
      <c r="H17" s="280">
        <v>69155</v>
      </c>
      <c r="I17" s="280">
        <v>70542</v>
      </c>
      <c r="J17" s="297">
        <v>-1387</v>
      </c>
      <c r="K17" s="112">
        <v>12.124863713</v>
      </c>
      <c r="L17" s="112">
        <v>12.216848868</v>
      </c>
      <c r="M17" s="112">
        <v>5.5317763280000003</v>
      </c>
      <c r="N17" s="112">
        <v>2.0067619369999998</v>
      </c>
      <c r="O17" s="112">
        <v>2.0067619369999998</v>
      </c>
      <c r="P17" s="112">
        <v>4.5863254480000002</v>
      </c>
      <c r="Q17" s="112">
        <v>4.6783106029999999</v>
      </c>
      <c r="R17" s="337">
        <v>-9.1985154999999999E-2</v>
      </c>
      <c r="S17" s="281" t="s">
        <v>14</v>
      </c>
      <c r="T17" s="484"/>
    </row>
    <row r="18" spans="1:20" s="36" customFormat="1" ht="11.45" customHeight="1">
      <c r="A18" s="487"/>
      <c r="B18" s="279" t="s">
        <v>15</v>
      </c>
      <c r="C18" s="280">
        <v>199201</v>
      </c>
      <c r="D18" s="280">
        <v>188412</v>
      </c>
      <c r="E18" s="280">
        <v>92057</v>
      </c>
      <c r="F18" s="280">
        <v>25389</v>
      </c>
      <c r="G18" s="280">
        <v>25389</v>
      </c>
      <c r="H18" s="280">
        <v>81755</v>
      </c>
      <c r="I18" s="280">
        <v>70966</v>
      </c>
      <c r="J18" s="297">
        <v>10789</v>
      </c>
      <c r="K18" s="112">
        <v>12.533748773999999</v>
      </c>
      <c r="L18" s="112">
        <v>11.85490371</v>
      </c>
      <c r="M18" s="112">
        <v>5.7922365390000001</v>
      </c>
      <c r="N18" s="112">
        <v>1.5974786649999999</v>
      </c>
      <c r="O18" s="112">
        <v>1.5974786649999999</v>
      </c>
      <c r="P18" s="112">
        <v>5.1440335690000003</v>
      </c>
      <c r="Q18" s="112">
        <v>4.4651885059999996</v>
      </c>
      <c r="R18" s="337">
        <v>0.678845064</v>
      </c>
      <c r="S18" s="281" t="s">
        <v>15</v>
      </c>
      <c r="T18" s="484"/>
    </row>
    <row r="19" spans="1:20" s="36" customFormat="1" ht="11.45" customHeight="1">
      <c r="A19" s="487"/>
      <c r="B19" s="279" t="s">
        <v>16</v>
      </c>
      <c r="C19" s="280">
        <v>251857</v>
      </c>
      <c r="D19" s="280">
        <v>243591</v>
      </c>
      <c r="E19" s="280">
        <v>93123</v>
      </c>
      <c r="F19" s="280">
        <v>43472</v>
      </c>
      <c r="G19" s="280">
        <v>43472</v>
      </c>
      <c r="H19" s="280">
        <v>115262</v>
      </c>
      <c r="I19" s="280">
        <v>106996</v>
      </c>
      <c r="J19" s="297">
        <v>8266</v>
      </c>
      <c r="K19" s="112">
        <v>11.824047477000001</v>
      </c>
      <c r="L19" s="112">
        <v>11.435979738</v>
      </c>
      <c r="M19" s="112">
        <v>4.3718887039999998</v>
      </c>
      <c r="N19" s="112">
        <v>2.0409001610000002</v>
      </c>
      <c r="O19" s="112">
        <v>2.0409001610000002</v>
      </c>
      <c r="P19" s="112">
        <v>5.4112586120000001</v>
      </c>
      <c r="Q19" s="112">
        <v>5.023190874</v>
      </c>
      <c r="R19" s="337">
        <v>0.38806773900000002</v>
      </c>
      <c r="S19" s="281" t="s">
        <v>16</v>
      </c>
      <c r="T19" s="484"/>
    </row>
    <row r="20" spans="1:20" s="36" customFormat="1" ht="11.45" customHeight="1">
      <c r="A20" s="487"/>
      <c r="B20" s="279" t="s">
        <v>17</v>
      </c>
      <c r="C20" s="280">
        <v>195095</v>
      </c>
      <c r="D20" s="280">
        <v>198670</v>
      </c>
      <c r="E20" s="280">
        <v>93274</v>
      </c>
      <c r="F20" s="280">
        <v>45301</v>
      </c>
      <c r="G20" s="280">
        <v>45301</v>
      </c>
      <c r="H20" s="280">
        <v>56520</v>
      </c>
      <c r="I20" s="280">
        <v>60095</v>
      </c>
      <c r="J20" s="297">
        <v>-3575</v>
      </c>
      <c r="K20" s="112">
        <v>11.298621949999999</v>
      </c>
      <c r="L20" s="112">
        <v>11.505662486</v>
      </c>
      <c r="M20" s="112">
        <v>5.4018179030000004</v>
      </c>
      <c r="N20" s="112">
        <v>2.6235366</v>
      </c>
      <c r="O20" s="112">
        <v>2.6235366</v>
      </c>
      <c r="P20" s="112">
        <v>3.2732674469999998</v>
      </c>
      <c r="Q20" s="112">
        <v>3.480307984</v>
      </c>
      <c r="R20" s="337">
        <v>-0.207040537</v>
      </c>
      <c r="S20" s="281" t="s">
        <v>17</v>
      </c>
      <c r="T20" s="484"/>
    </row>
    <row r="21" spans="1:20" s="36" customFormat="1" ht="11.45" customHeight="1">
      <c r="A21" s="487"/>
      <c r="B21" s="279" t="s">
        <v>18</v>
      </c>
      <c r="C21" s="280">
        <v>185748</v>
      </c>
      <c r="D21" s="280">
        <v>184414</v>
      </c>
      <c r="E21" s="280">
        <v>68411</v>
      </c>
      <c r="F21" s="280">
        <v>43485</v>
      </c>
      <c r="G21" s="280">
        <v>43485</v>
      </c>
      <c r="H21" s="280">
        <v>73852</v>
      </c>
      <c r="I21" s="280">
        <v>72518</v>
      </c>
      <c r="J21" s="297">
        <v>1334</v>
      </c>
      <c r="K21" s="112">
        <v>10.436227780999999</v>
      </c>
      <c r="L21" s="112">
        <v>10.361277161</v>
      </c>
      <c r="M21" s="112">
        <v>3.8436633439999999</v>
      </c>
      <c r="N21" s="112">
        <v>2.4431992</v>
      </c>
      <c r="O21" s="112">
        <v>2.4431992</v>
      </c>
      <c r="P21" s="112">
        <v>4.1493652369999996</v>
      </c>
      <c r="Q21" s="112">
        <v>4.0744146170000004</v>
      </c>
      <c r="R21" s="337">
        <v>7.4950620999999995E-2</v>
      </c>
      <c r="S21" s="281" t="s">
        <v>18</v>
      </c>
      <c r="T21" s="484"/>
    </row>
    <row r="22" spans="1:20" s="36" customFormat="1" ht="11.45" customHeight="1">
      <c r="A22" s="487"/>
      <c r="B22" s="279" t="s">
        <v>19</v>
      </c>
      <c r="C22" s="280">
        <v>259920</v>
      </c>
      <c r="D22" s="280">
        <v>269134</v>
      </c>
      <c r="E22" s="280">
        <v>105254</v>
      </c>
      <c r="F22" s="280">
        <v>46751</v>
      </c>
      <c r="G22" s="280">
        <v>46751</v>
      </c>
      <c r="H22" s="280">
        <v>107915</v>
      </c>
      <c r="I22" s="280">
        <v>117129</v>
      </c>
      <c r="J22" s="297">
        <v>-9214</v>
      </c>
      <c r="K22" s="112">
        <v>10.347125520000001</v>
      </c>
      <c r="L22" s="112">
        <v>10.713924591</v>
      </c>
      <c r="M22" s="112">
        <v>4.1900444349999999</v>
      </c>
      <c r="N22" s="112">
        <v>1.861105206</v>
      </c>
      <c r="O22" s="112">
        <v>1.861105206</v>
      </c>
      <c r="P22" s="112">
        <v>4.2959758790000002</v>
      </c>
      <c r="Q22" s="112">
        <v>4.6627749500000002</v>
      </c>
      <c r="R22" s="337">
        <v>-0.36679907099999998</v>
      </c>
      <c r="S22" s="281" t="s">
        <v>19</v>
      </c>
      <c r="T22" s="484"/>
    </row>
    <row r="23" spans="1:20" s="36" customFormat="1" ht="11.45" customHeight="1">
      <c r="A23" s="487"/>
      <c r="B23" s="279" t="s">
        <v>20</v>
      </c>
      <c r="C23" s="280">
        <v>326535</v>
      </c>
      <c r="D23" s="280">
        <v>334112</v>
      </c>
      <c r="E23" s="280">
        <v>150999</v>
      </c>
      <c r="F23" s="280">
        <v>64087</v>
      </c>
      <c r="G23" s="280">
        <v>64087</v>
      </c>
      <c r="H23" s="280">
        <v>111449</v>
      </c>
      <c r="I23" s="280">
        <v>119026</v>
      </c>
      <c r="J23" s="297">
        <v>-7577</v>
      </c>
      <c r="K23" s="112">
        <v>10.177128506000001</v>
      </c>
      <c r="L23" s="112">
        <v>10.413281146999999</v>
      </c>
      <c r="M23" s="112">
        <v>4.7061914570000001</v>
      </c>
      <c r="N23" s="112">
        <v>1.9974019160000001</v>
      </c>
      <c r="O23" s="112">
        <v>1.9974019160000001</v>
      </c>
      <c r="P23" s="112">
        <v>3.473535134</v>
      </c>
      <c r="Q23" s="112">
        <v>3.7096877749999999</v>
      </c>
      <c r="R23" s="337">
        <v>-0.236152641</v>
      </c>
      <c r="S23" s="281" t="s">
        <v>20</v>
      </c>
      <c r="T23" s="484"/>
    </row>
    <row r="24" spans="1:20" s="36" customFormat="1" ht="20.100000000000001" customHeight="1">
      <c r="A24" s="487"/>
      <c r="B24" s="279" t="s">
        <v>21</v>
      </c>
      <c r="C24" s="280">
        <v>77588</v>
      </c>
      <c r="D24" s="280">
        <v>81861</v>
      </c>
      <c r="E24" s="280">
        <v>41235</v>
      </c>
      <c r="F24" s="280">
        <v>8017</v>
      </c>
      <c r="G24" s="280">
        <v>8017</v>
      </c>
      <c r="H24" s="280">
        <v>28336</v>
      </c>
      <c r="I24" s="280">
        <v>32609</v>
      </c>
      <c r="J24" s="297">
        <v>-4273</v>
      </c>
      <c r="K24" s="113">
        <v>11.688169847999999</v>
      </c>
      <c r="L24" s="113">
        <v>12.331871834999999</v>
      </c>
      <c r="M24" s="113">
        <v>6.211807028</v>
      </c>
      <c r="N24" s="113">
        <v>1.207713276</v>
      </c>
      <c r="O24" s="113">
        <v>1.207713276</v>
      </c>
      <c r="P24" s="113">
        <v>4.2686495439999996</v>
      </c>
      <c r="Q24" s="113">
        <v>4.9123515309999997</v>
      </c>
      <c r="R24" s="338">
        <v>-0.64370198700000003</v>
      </c>
      <c r="S24" s="281" t="s">
        <v>21</v>
      </c>
      <c r="T24" s="484"/>
    </row>
    <row r="25" spans="1:20" s="276" customFormat="1" ht="20.100000000000001" customHeight="1">
      <c r="A25" s="488" t="s">
        <v>22</v>
      </c>
      <c r="B25" s="291" t="s">
        <v>5</v>
      </c>
      <c r="C25" s="292">
        <v>3139371</v>
      </c>
      <c r="D25" s="292">
        <v>3139371</v>
      </c>
      <c r="E25" s="292">
        <v>1051628</v>
      </c>
      <c r="F25" s="292">
        <v>931268</v>
      </c>
      <c r="G25" s="292">
        <v>931268</v>
      </c>
      <c r="H25" s="292">
        <v>1156475</v>
      </c>
      <c r="I25" s="292">
        <v>1156475</v>
      </c>
      <c r="J25" s="298">
        <v>0</v>
      </c>
      <c r="K25" s="289">
        <v>12.389236924</v>
      </c>
      <c r="L25" s="289">
        <v>12.389236924</v>
      </c>
      <c r="M25" s="289">
        <v>4.1501525140000002</v>
      </c>
      <c r="N25" s="289">
        <v>3.67516292</v>
      </c>
      <c r="O25" s="289">
        <v>3.67516292</v>
      </c>
      <c r="P25" s="289">
        <v>4.5639214900000002</v>
      </c>
      <c r="Q25" s="289">
        <v>4.5639214900000002</v>
      </c>
      <c r="R25" s="339">
        <v>0</v>
      </c>
      <c r="S25" s="293" t="s">
        <v>5</v>
      </c>
      <c r="T25" s="485" t="s">
        <v>22</v>
      </c>
    </row>
    <row r="26" spans="1:20" s="36" customFormat="1" ht="11.45" customHeight="1">
      <c r="A26" s="489"/>
      <c r="B26" s="279" t="s">
        <v>6</v>
      </c>
      <c r="C26" s="280">
        <v>605668</v>
      </c>
      <c r="D26" s="280">
        <v>623745</v>
      </c>
      <c r="E26" s="280">
        <v>146528</v>
      </c>
      <c r="F26" s="280">
        <v>241649</v>
      </c>
      <c r="G26" s="280">
        <v>241649</v>
      </c>
      <c r="H26" s="280">
        <v>217491</v>
      </c>
      <c r="I26" s="280">
        <v>235568</v>
      </c>
      <c r="J26" s="297">
        <v>-18077</v>
      </c>
      <c r="K26" s="112">
        <v>13.585997944000001</v>
      </c>
      <c r="L26" s="112">
        <v>13.991490861999999</v>
      </c>
      <c r="M26" s="112">
        <v>3.286832236</v>
      </c>
      <c r="N26" s="112">
        <v>5.4205320690000001</v>
      </c>
      <c r="O26" s="112">
        <v>5.4205320690000001</v>
      </c>
      <c r="P26" s="112">
        <v>4.8786336390000002</v>
      </c>
      <c r="Q26" s="112">
        <v>5.2841265569999996</v>
      </c>
      <c r="R26" s="337">
        <v>-0.40549291799999998</v>
      </c>
      <c r="S26" s="283" t="s">
        <v>6</v>
      </c>
      <c r="T26" s="479"/>
    </row>
    <row r="27" spans="1:20" s="36" customFormat="1" ht="11.45" customHeight="1">
      <c r="A27" s="489"/>
      <c r="B27" s="279" t="s">
        <v>7</v>
      </c>
      <c r="C27" s="280">
        <v>181790</v>
      </c>
      <c r="D27" s="280">
        <v>188688</v>
      </c>
      <c r="E27" s="280">
        <v>47692</v>
      </c>
      <c r="F27" s="280">
        <v>77731</v>
      </c>
      <c r="G27" s="280">
        <v>77731</v>
      </c>
      <c r="H27" s="280">
        <v>56367</v>
      </c>
      <c r="I27" s="280">
        <v>63265</v>
      </c>
      <c r="J27" s="297">
        <v>-6898</v>
      </c>
      <c r="K27" s="112">
        <v>11.539851972999999</v>
      </c>
      <c r="L27" s="112">
        <v>11.977730288</v>
      </c>
      <c r="M27" s="112">
        <v>3.027441665</v>
      </c>
      <c r="N27" s="112">
        <v>4.9342880999999998</v>
      </c>
      <c r="O27" s="112">
        <v>4.9342880999999998</v>
      </c>
      <c r="P27" s="112">
        <v>3.5781222079999999</v>
      </c>
      <c r="Q27" s="112">
        <v>4.0160005229999998</v>
      </c>
      <c r="R27" s="337">
        <v>-0.43787831500000002</v>
      </c>
      <c r="S27" s="283" t="s">
        <v>7</v>
      </c>
      <c r="T27" s="479"/>
    </row>
    <row r="28" spans="1:20" s="36" customFormat="1" ht="11.45" customHeight="1">
      <c r="A28" s="489"/>
      <c r="B28" s="279" t="s">
        <v>8</v>
      </c>
      <c r="C28" s="280">
        <v>135174</v>
      </c>
      <c r="D28" s="280">
        <v>138485</v>
      </c>
      <c r="E28" s="280">
        <v>39138</v>
      </c>
      <c r="F28" s="280">
        <v>51366</v>
      </c>
      <c r="G28" s="280">
        <v>51366</v>
      </c>
      <c r="H28" s="280">
        <v>44670</v>
      </c>
      <c r="I28" s="280">
        <v>47981</v>
      </c>
      <c r="J28" s="297">
        <v>-3311</v>
      </c>
      <c r="K28" s="112">
        <v>11.74030522</v>
      </c>
      <c r="L28" s="112">
        <v>12.027876429000001</v>
      </c>
      <c r="M28" s="112">
        <v>3.3992636580000002</v>
      </c>
      <c r="N28" s="112">
        <v>4.4613055609999996</v>
      </c>
      <c r="O28" s="112">
        <v>4.4613055609999996</v>
      </c>
      <c r="P28" s="112">
        <v>3.8797360009999999</v>
      </c>
      <c r="Q28" s="112">
        <v>4.1673072099999997</v>
      </c>
      <c r="R28" s="337">
        <v>-0.28757120899999999</v>
      </c>
      <c r="S28" s="283" t="s">
        <v>8</v>
      </c>
      <c r="T28" s="479"/>
    </row>
    <row r="29" spans="1:20" s="36" customFormat="1" ht="11.45" customHeight="1">
      <c r="A29" s="489"/>
      <c r="B29" s="279" t="s">
        <v>9</v>
      </c>
      <c r="C29" s="280">
        <v>203539</v>
      </c>
      <c r="D29" s="280">
        <v>187129</v>
      </c>
      <c r="E29" s="280">
        <v>61065</v>
      </c>
      <c r="F29" s="280">
        <v>56617</v>
      </c>
      <c r="G29" s="280">
        <v>56617</v>
      </c>
      <c r="H29" s="280">
        <v>85857</v>
      </c>
      <c r="I29" s="280">
        <v>69447</v>
      </c>
      <c r="J29" s="297">
        <v>16410</v>
      </c>
      <c r="K29" s="112">
        <v>13.499689267999999</v>
      </c>
      <c r="L29" s="112">
        <v>12.411298832</v>
      </c>
      <c r="M29" s="112">
        <v>4.0501256520000002</v>
      </c>
      <c r="N29" s="112">
        <v>3.7551128149999999</v>
      </c>
      <c r="O29" s="112">
        <v>3.7551128149999999</v>
      </c>
      <c r="P29" s="112">
        <v>5.6944508010000003</v>
      </c>
      <c r="Q29" s="112">
        <v>4.6060603650000003</v>
      </c>
      <c r="R29" s="337">
        <v>1.0883904360000001</v>
      </c>
      <c r="S29" s="283" t="s">
        <v>9</v>
      </c>
      <c r="T29" s="479"/>
    </row>
    <row r="30" spans="1:20" s="36" customFormat="1" ht="11.45" customHeight="1">
      <c r="A30" s="489"/>
      <c r="B30" s="279" t="s">
        <v>10</v>
      </c>
      <c r="C30" s="280">
        <v>82558</v>
      </c>
      <c r="D30" s="280">
        <v>89372</v>
      </c>
      <c r="E30" s="280">
        <v>26128</v>
      </c>
      <c r="F30" s="280">
        <v>28029</v>
      </c>
      <c r="G30" s="280">
        <v>28029</v>
      </c>
      <c r="H30" s="280">
        <v>28401</v>
      </c>
      <c r="I30" s="280">
        <v>35215</v>
      </c>
      <c r="J30" s="297">
        <v>-6814</v>
      </c>
      <c r="K30" s="112">
        <v>11.996893171</v>
      </c>
      <c r="L30" s="112">
        <v>12.987067716</v>
      </c>
      <c r="M30" s="112">
        <v>3.7967831680000002</v>
      </c>
      <c r="N30" s="112">
        <v>4.0730264629999997</v>
      </c>
      <c r="O30" s="112">
        <v>4.0730264629999997</v>
      </c>
      <c r="P30" s="112">
        <v>4.1270835410000002</v>
      </c>
      <c r="Q30" s="112">
        <v>5.1172580849999996</v>
      </c>
      <c r="R30" s="337">
        <v>-0.99017454500000002</v>
      </c>
      <c r="S30" s="283" t="s">
        <v>10</v>
      </c>
      <c r="T30" s="479"/>
    </row>
    <row r="31" spans="1:20" s="36" customFormat="1" ht="11.45" customHeight="1">
      <c r="A31" s="489"/>
      <c r="B31" s="279" t="s">
        <v>11</v>
      </c>
      <c r="C31" s="280">
        <v>106596</v>
      </c>
      <c r="D31" s="280">
        <v>104998</v>
      </c>
      <c r="E31" s="280">
        <v>28955</v>
      </c>
      <c r="F31" s="280">
        <v>34865</v>
      </c>
      <c r="G31" s="280">
        <v>34865</v>
      </c>
      <c r="H31" s="280">
        <v>42776</v>
      </c>
      <c r="I31" s="280">
        <v>41178</v>
      </c>
      <c r="J31" s="297">
        <v>1598</v>
      </c>
      <c r="K31" s="112">
        <v>14.920989972999999</v>
      </c>
      <c r="L31" s="112">
        <v>14.697306702000001</v>
      </c>
      <c r="M31" s="112">
        <v>4.0530344920000001</v>
      </c>
      <c r="N31" s="112">
        <v>4.8802986549999998</v>
      </c>
      <c r="O31" s="112">
        <v>4.8802986549999998</v>
      </c>
      <c r="P31" s="112">
        <v>5.9876568270000003</v>
      </c>
      <c r="Q31" s="112">
        <v>5.7639735559999998</v>
      </c>
      <c r="R31" s="337">
        <v>0.22368327099999999</v>
      </c>
      <c r="S31" s="283" t="s">
        <v>11</v>
      </c>
      <c r="T31" s="479"/>
    </row>
    <row r="32" spans="1:20" s="36" customFormat="1" ht="11.45" customHeight="1">
      <c r="A32" s="489"/>
      <c r="B32" s="279" t="s">
        <v>12</v>
      </c>
      <c r="C32" s="280">
        <v>62934</v>
      </c>
      <c r="D32" s="280">
        <v>64261</v>
      </c>
      <c r="E32" s="280">
        <v>18690</v>
      </c>
      <c r="F32" s="280">
        <v>19483</v>
      </c>
      <c r="G32" s="280">
        <v>19483</v>
      </c>
      <c r="H32" s="280">
        <v>24761</v>
      </c>
      <c r="I32" s="280">
        <v>26088</v>
      </c>
      <c r="J32" s="297">
        <v>-1327</v>
      </c>
      <c r="K32" s="112">
        <v>11.200841477999999</v>
      </c>
      <c r="L32" s="112">
        <v>11.437017736</v>
      </c>
      <c r="M32" s="112">
        <v>3.3264011060000001</v>
      </c>
      <c r="N32" s="112">
        <v>3.4675373330000001</v>
      </c>
      <c r="O32" s="112">
        <v>3.4675373330000001</v>
      </c>
      <c r="P32" s="112">
        <v>4.4069030390000004</v>
      </c>
      <c r="Q32" s="112">
        <v>4.6430792969999999</v>
      </c>
      <c r="R32" s="337">
        <v>-0.236176258</v>
      </c>
      <c r="S32" s="283" t="s">
        <v>12</v>
      </c>
      <c r="T32" s="479"/>
    </row>
    <row r="33" spans="1:20" s="36" customFormat="1" ht="11.45" customHeight="1">
      <c r="A33" s="489"/>
      <c r="B33" s="279" t="s">
        <v>167</v>
      </c>
      <c r="C33" s="280">
        <v>27308</v>
      </c>
      <c r="D33" s="280">
        <v>27258</v>
      </c>
      <c r="E33" s="280">
        <v>10195</v>
      </c>
      <c r="F33" s="282">
        <v>0</v>
      </c>
      <c r="G33" s="282">
        <v>0</v>
      </c>
      <c r="H33" s="280">
        <v>17113</v>
      </c>
      <c r="I33" s="280">
        <v>17063</v>
      </c>
      <c r="J33" s="297">
        <v>50</v>
      </c>
      <c r="K33" s="112">
        <v>14.053361398</v>
      </c>
      <c r="L33" s="112">
        <v>14.027630180999999</v>
      </c>
      <c r="M33" s="112">
        <v>5.246595117</v>
      </c>
      <c r="N33" s="112">
        <v>0</v>
      </c>
      <c r="O33" s="112">
        <v>0</v>
      </c>
      <c r="P33" s="112">
        <v>8.8067662809999998</v>
      </c>
      <c r="Q33" s="112">
        <v>8.7810350639999992</v>
      </c>
      <c r="R33" s="337">
        <v>2.5731199999999999E-2</v>
      </c>
      <c r="S33" s="281" t="s">
        <v>167</v>
      </c>
      <c r="T33" s="479"/>
    </row>
    <row r="34" spans="1:20" s="36" customFormat="1" ht="11.45" customHeight="1">
      <c r="A34" s="489"/>
      <c r="B34" s="279" t="s">
        <v>13</v>
      </c>
      <c r="C34" s="280">
        <v>843579</v>
      </c>
      <c r="D34" s="280">
        <v>828812</v>
      </c>
      <c r="E34" s="280">
        <v>300831</v>
      </c>
      <c r="F34" s="280">
        <v>258700</v>
      </c>
      <c r="G34" s="280">
        <v>258700</v>
      </c>
      <c r="H34" s="280">
        <v>284048</v>
      </c>
      <c r="I34" s="280">
        <v>269281</v>
      </c>
      <c r="J34" s="297">
        <v>14767</v>
      </c>
      <c r="K34" s="112">
        <v>12.309986484</v>
      </c>
      <c r="L34" s="112">
        <v>12.094497988000001</v>
      </c>
      <c r="M34" s="112">
        <v>4.3898977380000002</v>
      </c>
      <c r="N34" s="112">
        <v>3.7750981280000002</v>
      </c>
      <c r="O34" s="112">
        <v>3.7750981280000002</v>
      </c>
      <c r="P34" s="112">
        <v>4.1449906179999996</v>
      </c>
      <c r="Q34" s="112">
        <v>3.9295021220000002</v>
      </c>
      <c r="R34" s="337">
        <v>0.215488497</v>
      </c>
      <c r="S34" s="283" t="s">
        <v>13</v>
      </c>
      <c r="T34" s="479"/>
    </row>
    <row r="35" spans="1:20" s="36" customFormat="1" ht="11.45" customHeight="1">
      <c r="A35" s="489"/>
      <c r="B35" s="279" t="s">
        <v>14</v>
      </c>
      <c r="C35" s="280">
        <v>96219</v>
      </c>
      <c r="D35" s="280">
        <v>96328</v>
      </c>
      <c r="E35" s="280">
        <v>42030</v>
      </c>
      <c r="F35" s="280">
        <v>16310</v>
      </c>
      <c r="G35" s="280">
        <v>16310</v>
      </c>
      <c r="H35" s="280">
        <v>37879</v>
      </c>
      <c r="I35" s="280">
        <v>37988</v>
      </c>
      <c r="J35" s="297">
        <v>-109</v>
      </c>
      <c r="K35" s="112">
        <v>12.697132888000001</v>
      </c>
      <c r="L35" s="112">
        <v>12.711516612</v>
      </c>
      <c r="M35" s="112">
        <v>5.5463109709999996</v>
      </c>
      <c r="N35" s="112">
        <v>2.152280084</v>
      </c>
      <c r="O35" s="112">
        <v>2.152280084</v>
      </c>
      <c r="P35" s="112">
        <v>4.9985418340000001</v>
      </c>
      <c r="Q35" s="112">
        <v>5.012925557</v>
      </c>
      <c r="R35" s="337">
        <v>-1.4383999999999999E-2</v>
      </c>
      <c r="S35" s="283" t="s">
        <v>14</v>
      </c>
      <c r="T35" s="479"/>
    </row>
    <row r="36" spans="1:20" s="36" customFormat="1" ht="11.45" customHeight="1">
      <c r="A36" s="489"/>
      <c r="B36" s="279" t="s">
        <v>15</v>
      </c>
      <c r="C36" s="280">
        <v>105916</v>
      </c>
      <c r="D36" s="280">
        <v>99200</v>
      </c>
      <c r="E36" s="280">
        <v>47035</v>
      </c>
      <c r="F36" s="280">
        <v>13390</v>
      </c>
      <c r="G36" s="280">
        <v>13390</v>
      </c>
      <c r="H36" s="280">
        <v>45491</v>
      </c>
      <c r="I36" s="280">
        <v>38775</v>
      </c>
      <c r="J36" s="297">
        <v>6716</v>
      </c>
      <c r="K36" s="112">
        <v>13.092431084999999</v>
      </c>
      <c r="L36" s="112">
        <v>12.262256539999999</v>
      </c>
      <c r="M36" s="112">
        <v>5.8140648820000003</v>
      </c>
      <c r="N36" s="112">
        <v>1.6551574099999999</v>
      </c>
      <c r="O36" s="112">
        <v>1.6551574099999999</v>
      </c>
      <c r="P36" s="112">
        <v>5.6232087929999999</v>
      </c>
      <c r="Q36" s="112">
        <v>4.7930342469999996</v>
      </c>
      <c r="R36" s="337">
        <v>0.83017454599999996</v>
      </c>
      <c r="S36" s="283" t="s">
        <v>15</v>
      </c>
      <c r="T36" s="479"/>
    </row>
    <row r="37" spans="1:20" s="36" customFormat="1" ht="11.45" customHeight="1">
      <c r="A37" s="489"/>
      <c r="B37" s="279" t="s">
        <v>16</v>
      </c>
      <c r="C37" s="280">
        <v>135564</v>
      </c>
      <c r="D37" s="280">
        <v>130126</v>
      </c>
      <c r="E37" s="280">
        <v>48629</v>
      </c>
      <c r="F37" s="280">
        <v>22922</v>
      </c>
      <c r="G37" s="280">
        <v>22922</v>
      </c>
      <c r="H37" s="280">
        <v>64013</v>
      </c>
      <c r="I37" s="280">
        <v>58575</v>
      </c>
      <c r="J37" s="297">
        <v>5438</v>
      </c>
      <c r="K37" s="112">
        <v>12.408865358</v>
      </c>
      <c r="L37" s="112">
        <v>11.911097442000001</v>
      </c>
      <c r="M37" s="112">
        <v>4.4512607590000002</v>
      </c>
      <c r="N37" s="112">
        <v>2.0981677419999998</v>
      </c>
      <c r="O37" s="112">
        <v>2.0981677419999998</v>
      </c>
      <c r="P37" s="112">
        <v>5.8594368579999996</v>
      </c>
      <c r="Q37" s="112">
        <v>5.3616689409999996</v>
      </c>
      <c r="R37" s="337">
        <v>0.49776791599999998</v>
      </c>
      <c r="S37" s="283" t="s">
        <v>16</v>
      </c>
      <c r="T37" s="479"/>
    </row>
    <row r="38" spans="1:20" s="36" customFormat="1" ht="11.45" customHeight="1">
      <c r="A38" s="489"/>
      <c r="B38" s="279" t="s">
        <v>17</v>
      </c>
      <c r="C38" s="280">
        <v>101221</v>
      </c>
      <c r="D38" s="280">
        <v>102721</v>
      </c>
      <c r="E38" s="280">
        <v>47020</v>
      </c>
      <c r="F38" s="280">
        <v>23563</v>
      </c>
      <c r="G38" s="280">
        <v>23563</v>
      </c>
      <c r="H38" s="280">
        <v>30638</v>
      </c>
      <c r="I38" s="280">
        <v>32138</v>
      </c>
      <c r="J38" s="297">
        <v>-1500</v>
      </c>
      <c r="K38" s="112">
        <v>11.773737565999999</v>
      </c>
      <c r="L38" s="112">
        <v>11.948213280999999</v>
      </c>
      <c r="M38" s="112">
        <v>5.4692320800000003</v>
      </c>
      <c r="N38" s="112">
        <v>2.7407808490000001</v>
      </c>
      <c r="O38" s="112">
        <v>2.7407808490000001</v>
      </c>
      <c r="P38" s="112">
        <v>3.5637246380000001</v>
      </c>
      <c r="Q38" s="112">
        <v>3.7382003529999999</v>
      </c>
      <c r="R38" s="337">
        <v>-0.174475715</v>
      </c>
      <c r="S38" s="283" t="s">
        <v>17</v>
      </c>
      <c r="T38" s="479"/>
    </row>
    <row r="39" spans="1:20" s="36" customFormat="1" ht="11.45" customHeight="1">
      <c r="A39" s="489"/>
      <c r="B39" s="279" t="s">
        <v>18</v>
      </c>
      <c r="C39" s="280">
        <v>97839</v>
      </c>
      <c r="D39" s="280">
        <v>96057</v>
      </c>
      <c r="E39" s="280">
        <v>35068</v>
      </c>
      <c r="F39" s="280">
        <v>22527</v>
      </c>
      <c r="G39" s="280">
        <v>22527</v>
      </c>
      <c r="H39" s="280">
        <v>40244</v>
      </c>
      <c r="I39" s="280">
        <v>38462</v>
      </c>
      <c r="J39" s="297">
        <v>1782</v>
      </c>
      <c r="K39" s="112">
        <v>10.895727248</v>
      </c>
      <c r="L39" s="112">
        <v>10.697276876</v>
      </c>
      <c r="M39" s="112">
        <v>3.9053073220000001</v>
      </c>
      <c r="N39" s="112">
        <v>2.5086933400000002</v>
      </c>
      <c r="O39" s="112">
        <v>2.5086933400000002</v>
      </c>
      <c r="P39" s="112">
        <v>4.4817265849999997</v>
      </c>
      <c r="Q39" s="112">
        <v>4.2832762129999997</v>
      </c>
      <c r="R39" s="337">
        <v>0.19845037200000001</v>
      </c>
      <c r="S39" s="283" t="s">
        <v>18</v>
      </c>
      <c r="T39" s="479"/>
    </row>
    <row r="40" spans="1:20" s="36" customFormat="1" ht="11.45" customHeight="1">
      <c r="A40" s="489"/>
      <c r="B40" s="279" t="s">
        <v>19</v>
      </c>
      <c r="C40" s="280">
        <v>139648</v>
      </c>
      <c r="D40" s="280">
        <v>143629</v>
      </c>
      <c r="E40" s="280">
        <v>54222</v>
      </c>
      <c r="F40" s="280">
        <v>25164</v>
      </c>
      <c r="G40" s="280">
        <v>25164</v>
      </c>
      <c r="H40" s="280">
        <v>60262</v>
      </c>
      <c r="I40" s="280">
        <v>64243</v>
      </c>
      <c r="J40" s="297">
        <v>-3981</v>
      </c>
      <c r="K40" s="112">
        <v>10.993931798</v>
      </c>
      <c r="L40" s="112">
        <v>11.307340099999999</v>
      </c>
      <c r="M40" s="112">
        <v>4.2686824730000001</v>
      </c>
      <c r="N40" s="112">
        <v>1.9810616679999999</v>
      </c>
      <c r="O40" s="112">
        <v>1.9810616679999999</v>
      </c>
      <c r="P40" s="112">
        <v>4.7441876580000004</v>
      </c>
      <c r="Q40" s="112">
        <v>5.0575959590000004</v>
      </c>
      <c r="R40" s="337">
        <v>-0.31340830200000003</v>
      </c>
      <c r="S40" s="283" t="s">
        <v>19</v>
      </c>
      <c r="T40" s="479"/>
    </row>
    <row r="41" spans="1:20" s="36" customFormat="1" ht="11.45" customHeight="1">
      <c r="A41" s="489"/>
      <c r="B41" s="279" t="s">
        <v>20</v>
      </c>
      <c r="C41" s="280">
        <v>174333</v>
      </c>
      <c r="D41" s="280">
        <v>176799</v>
      </c>
      <c r="E41" s="280">
        <v>77660</v>
      </c>
      <c r="F41" s="280">
        <v>34854</v>
      </c>
      <c r="G41" s="280">
        <v>34854</v>
      </c>
      <c r="H41" s="280">
        <v>61819</v>
      </c>
      <c r="I41" s="280">
        <v>64285</v>
      </c>
      <c r="J41" s="297">
        <v>-2466</v>
      </c>
      <c r="K41" s="112">
        <v>10.784045974</v>
      </c>
      <c r="L41" s="112">
        <v>10.936589998000001</v>
      </c>
      <c r="M41" s="112">
        <v>4.8039614430000004</v>
      </c>
      <c r="N41" s="112">
        <v>2.1560297730000002</v>
      </c>
      <c r="O41" s="112">
        <v>2.1560297730000002</v>
      </c>
      <c r="P41" s="112">
        <v>3.8240547569999999</v>
      </c>
      <c r="Q41" s="112">
        <v>3.9765987819999999</v>
      </c>
      <c r="R41" s="337">
        <v>-0.152544024</v>
      </c>
      <c r="S41" s="283" t="s">
        <v>20</v>
      </c>
      <c r="T41" s="479"/>
    </row>
    <row r="42" spans="1:20" s="36" customFormat="1" ht="20.100000000000001" customHeight="1">
      <c r="A42" s="490"/>
      <c r="B42" s="284" t="s">
        <v>21</v>
      </c>
      <c r="C42" s="285">
        <v>39485</v>
      </c>
      <c r="D42" s="285">
        <v>41763</v>
      </c>
      <c r="E42" s="285">
        <v>20742</v>
      </c>
      <c r="F42" s="285">
        <v>4098</v>
      </c>
      <c r="G42" s="285">
        <v>4098</v>
      </c>
      <c r="H42" s="285">
        <v>14645</v>
      </c>
      <c r="I42" s="285">
        <v>16923</v>
      </c>
      <c r="J42" s="299">
        <v>-2278</v>
      </c>
      <c r="K42" s="113">
        <v>11.902124357</v>
      </c>
      <c r="L42" s="113">
        <v>12.588791174000001</v>
      </c>
      <c r="M42" s="113">
        <v>6.2523455339999998</v>
      </c>
      <c r="N42" s="113">
        <v>1.2352768300000001</v>
      </c>
      <c r="O42" s="113">
        <v>1.2352768300000001</v>
      </c>
      <c r="P42" s="113">
        <v>4.414501993</v>
      </c>
      <c r="Q42" s="113">
        <v>5.101168811</v>
      </c>
      <c r="R42" s="338">
        <v>-0.68666681699999998</v>
      </c>
      <c r="S42" s="286" t="s">
        <v>21</v>
      </c>
      <c r="T42" s="486"/>
    </row>
    <row r="43" spans="1:20" s="276" customFormat="1" ht="20.100000000000001" customHeight="1">
      <c r="A43" s="489" t="s">
        <v>45</v>
      </c>
      <c r="B43" s="287" t="s">
        <v>5</v>
      </c>
      <c r="C43" s="288">
        <v>2978413</v>
      </c>
      <c r="D43" s="288">
        <v>2978413</v>
      </c>
      <c r="E43" s="288">
        <v>1044204</v>
      </c>
      <c r="F43" s="288">
        <v>904771</v>
      </c>
      <c r="G43" s="288">
        <v>904771</v>
      </c>
      <c r="H43" s="288">
        <v>1029438</v>
      </c>
      <c r="I43" s="288">
        <v>1029438</v>
      </c>
      <c r="J43" s="300">
        <v>0</v>
      </c>
      <c r="K43" s="289">
        <v>11.634676881000001</v>
      </c>
      <c r="L43" s="289">
        <v>11.634676881000001</v>
      </c>
      <c r="M43" s="289">
        <v>4.0790099079999997</v>
      </c>
      <c r="N43" s="289">
        <v>3.5343379970000002</v>
      </c>
      <c r="O43" s="289">
        <v>3.5343379970000002</v>
      </c>
      <c r="P43" s="289">
        <v>4.0213289760000004</v>
      </c>
      <c r="Q43" s="289">
        <v>4.0213289760000004</v>
      </c>
      <c r="R43" s="339">
        <v>0</v>
      </c>
      <c r="S43" s="290" t="s">
        <v>5</v>
      </c>
      <c r="T43" s="479" t="s">
        <v>45</v>
      </c>
    </row>
    <row r="44" spans="1:20" s="36" customFormat="1" ht="11.45" customHeight="1">
      <c r="A44" s="489"/>
      <c r="B44" s="279" t="s">
        <v>6</v>
      </c>
      <c r="C44" s="280">
        <v>639260</v>
      </c>
      <c r="D44" s="280">
        <v>647952</v>
      </c>
      <c r="E44" s="280">
        <v>157128</v>
      </c>
      <c r="F44" s="280">
        <v>261296</v>
      </c>
      <c r="G44" s="280">
        <v>261296</v>
      </c>
      <c r="H44" s="280">
        <v>220836</v>
      </c>
      <c r="I44" s="280">
        <v>229528</v>
      </c>
      <c r="J44" s="297">
        <v>-8692</v>
      </c>
      <c r="K44" s="112">
        <v>13.347769788000001</v>
      </c>
      <c r="L44" s="112">
        <v>13.529259033000001</v>
      </c>
      <c r="M44" s="112">
        <v>3.2808377989999999</v>
      </c>
      <c r="N44" s="112">
        <v>5.4558690590000003</v>
      </c>
      <c r="O44" s="112">
        <v>5.4558690590000003</v>
      </c>
      <c r="P44" s="112">
        <v>4.6110629300000001</v>
      </c>
      <c r="Q44" s="112">
        <v>4.7925521760000001</v>
      </c>
      <c r="R44" s="337">
        <v>-0.18148924499999999</v>
      </c>
      <c r="S44" s="281" t="s">
        <v>6</v>
      </c>
      <c r="T44" s="479"/>
    </row>
    <row r="45" spans="1:20" s="36" customFormat="1" ht="11.45" customHeight="1">
      <c r="A45" s="489"/>
      <c r="B45" s="279" t="s">
        <v>7</v>
      </c>
      <c r="C45" s="280">
        <v>180626</v>
      </c>
      <c r="D45" s="280">
        <v>185909</v>
      </c>
      <c r="E45" s="280">
        <v>50761</v>
      </c>
      <c r="F45" s="280">
        <v>79994</v>
      </c>
      <c r="G45" s="280">
        <v>79994</v>
      </c>
      <c r="H45" s="280">
        <v>49871</v>
      </c>
      <c r="I45" s="280">
        <v>55154</v>
      </c>
      <c r="J45" s="297">
        <v>-5283</v>
      </c>
      <c r="K45" s="112">
        <v>10.847567966</v>
      </c>
      <c r="L45" s="112">
        <v>11.164840681999999</v>
      </c>
      <c r="M45" s="112">
        <v>3.0484725209999999</v>
      </c>
      <c r="N45" s="112">
        <v>4.8040722369999997</v>
      </c>
      <c r="O45" s="112">
        <v>4.8040722369999997</v>
      </c>
      <c r="P45" s="112">
        <v>2.9950232080000001</v>
      </c>
      <c r="Q45" s="112">
        <v>3.3122959239999998</v>
      </c>
      <c r="R45" s="337">
        <v>-0.31727271600000001</v>
      </c>
      <c r="S45" s="281" t="s">
        <v>7</v>
      </c>
      <c r="T45" s="479"/>
    </row>
    <row r="46" spans="1:20" s="36" customFormat="1" ht="11.45" customHeight="1">
      <c r="A46" s="489"/>
      <c r="B46" s="279" t="s">
        <v>8</v>
      </c>
      <c r="C46" s="280">
        <v>133294</v>
      </c>
      <c r="D46" s="280">
        <v>134255</v>
      </c>
      <c r="E46" s="280">
        <v>40702</v>
      </c>
      <c r="F46" s="280">
        <v>52350</v>
      </c>
      <c r="G46" s="280">
        <v>52350</v>
      </c>
      <c r="H46" s="280">
        <v>40242</v>
      </c>
      <c r="I46" s="280">
        <v>41203</v>
      </c>
      <c r="J46" s="297">
        <v>-961</v>
      </c>
      <c r="K46" s="112">
        <v>11.116328061000001</v>
      </c>
      <c r="L46" s="112">
        <v>11.196472637999999</v>
      </c>
      <c r="M46" s="112">
        <v>3.3944272409999998</v>
      </c>
      <c r="N46" s="112">
        <v>4.365836227</v>
      </c>
      <c r="O46" s="112">
        <v>4.365836227</v>
      </c>
      <c r="P46" s="112">
        <v>3.3560645930000002</v>
      </c>
      <c r="Q46" s="112">
        <v>3.4362091700000001</v>
      </c>
      <c r="R46" s="337">
        <v>-8.0144576999999995E-2</v>
      </c>
      <c r="S46" s="281" t="s">
        <v>8</v>
      </c>
      <c r="T46" s="479"/>
    </row>
    <row r="47" spans="1:20" s="36" customFormat="1" ht="11.45" customHeight="1">
      <c r="A47" s="489"/>
      <c r="B47" s="279" t="s">
        <v>9</v>
      </c>
      <c r="C47" s="280">
        <v>191986</v>
      </c>
      <c r="D47" s="280">
        <v>176132</v>
      </c>
      <c r="E47" s="280">
        <v>61404</v>
      </c>
      <c r="F47" s="280">
        <v>54205</v>
      </c>
      <c r="G47" s="280">
        <v>54205</v>
      </c>
      <c r="H47" s="280">
        <v>76377</v>
      </c>
      <c r="I47" s="280">
        <v>60523</v>
      </c>
      <c r="J47" s="297">
        <v>15854</v>
      </c>
      <c r="K47" s="112">
        <v>12.685640129999999</v>
      </c>
      <c r="L47" s="112">
        <v>11.638073438999999</v>
      </c>
      <c r="M47" s="112">
        <v>4.0573221300000002</v>
      </c>
      <c r="N47" s="112">
        <v>3.5816420120000001</v>
      </c>
      <c r="O47" s="112">
        <v>3.5816420120000001</v>
      </c>
      <c r="P47" s="112">
        <v>5.0466759879999996</v>
      </c>
      <c r="Q47" s="112">
        <v>3.999109297</v>
      </c>
      <c r="R47" s="337">
        <v>1.04756669</v>
      </c>
      <c r="S47" s="281" t="s">
        <v>9</v>
      </c>
      <c r="T47" s="479"/>
    </row>
    <row r="48" spans="1:20" s="36" customFormat="1" ht="11.45" customHeight="1">
      <c r="A48" s="489"/>
      <c r="B48" s="279" t="s">
        <v>10</v>
      </c>
      <c r="C48" s="280">
        <v>80315</v>
      </c>
      <c r="D48" s="280">
        <v>87179</v>
      </c>
      <c r="E48" s="280">
        <v>26730</v>
      </c>
      <c r="F48" s="280">
        <v>28259</v>
      </c>
      <c r="G48" s="280">
        <v>28259</v>
      </c>
      <c r="H48" s="280">
        <v>25326</v>
      </c>
      <c r="I48" s="280">
        <v>32190</v>
      </c>
      <c r="J48" s="297">
        <v>-6864</v>
      </c>
      <c r="K48" s="112">
        <v>11.348350486999999</v>
      </c>
      <c r="L48" s="112">
        <v>12.318220096999999</v>
      </c>
      <c r="M48" s="112">
        <v>3.776896078</v>
      </c>
      <c r="N48" s="112">
        <v>3.9929407509999999</v>
      </c>
      <c r="O48" s="112">
        <v>3.9929407509999999</v>
      </c>
      <c r="P48" s="112">
        <v>3.5785136579999999</v>
      </c>
      <c r="Q48" s="112">
        <v>4.5483832680000003</v>
      </c>
      <c r="R48" s="337">
        <v>-0.96986961000000005</v>
      </c>
      <c r="S48" s="281" t="s">
        <v>10</v>
      </c>
      <c r="T48" s="479"/>
    </row>
    <row r="49" spans="1:20" s="36" customFormat="1" ht="11.45" customHeight="1">
      <c r="A49" s="489"/>
      <c r="B49" s="279" t="s">
        <v>11</v>
      </c>
      <c r="C49" s="280">
        <v>100776</v>
      </c>
      <c r="D49" s="280">
        <v>99550</v>
      </c>
      <c r="E49" s="280">
        <v>29426</v>
      </c>
      <c r="F49" s="280">
        <v>34114</v>
      </c>
      <c r="G49" s="280">
        <v>34114</v>
      </c>
      <c r="H49" s="280">
        <v>37236</v>
      </c>
      <c r="I49" s="280">
        <v>36010</v>
      </c>
      <c r="J49" s="297">
        <v>1226</v>
      </c>
      <c r="K49" s="112">
        <v>13.988564955999999</v>
      </c>
      <c r="L49" s="112">
        <v>13.81838574</v>
      </c>
      <c r="M49" s="112">
        <v>4.0845787930000004</v>
      </c>
      <c r="N49" s="112">
        <v>4.7353130200000004</v>
      </c>
      <c r="O49" s="112">
        <v>4.7353130200000004</v>
      </c>
      <c r="P49" s="112">
        <v>5.1686731430000004</v>
      </c>
      <c r="Q49" s="112">
        <v>4.9984939280000003</v>
      </c>
      <c r="R49" s="337">
        <v>0.17017921599999999</v>
      </c>
      <c r="S49" s="281" t="s">
        <v>11</v>
      </c>
      <c r="T49" s="479"/>
    </row>
    <row r="50" spans="1:20" s="36" customFormat="1" ht="11.45" customHeight="1">
      <c r="A50" s="489"/>
      <c r="B50" s="279" t="s">
        <v>12</v>
      </c>
      <c r="C50" s="280">
        <v>51271</v>
      </c>
      <c r="D50" s="280">
        <v>55418</v>
      </c>
      <c r="E50" s="280">
        <v>17230</v>
      </c>
      <c r="F50" s="280">
        <v>17743</v>
      </c>
      <c r="G50" s="280">
        <v>17743</v>
      </c>
      <c r="H50" s="280">
        <v>16298</v>
      </c>
      <c r="I50" s="280">
        <v>20445</v>
      </c>
      <c r="J50" s="297">
        <v>-4147</v>
      </c>
      <c r="K50" s="112">
        <v>9.6731165430000008</v>
      </c>
      <c r="L50" s="112">
        <v>10.455516229000001</v>
      </c>
      <c r="M50" s="112">
        <v>3.2507225919999998</v>
      </c>
      <c r="N50" s="112">
        <v>3.3475084709999998</v>
      </c>
      <c r="O50" s="112">
        <v>3.3475084709999998</v>
      </c>
      <c r="P50" s="112">
        <v>3.0748854790000002</v>
      </c>
      <c r="Q50" s="112">
        <v>3.857285166</v>
      </c>
      <c r="R50" s="337">
        <v>-0.78239968599999998</v>
      </c>
      <c r="S50" s="281" t="s">
        <v>12</v>
      </c>
      <c r="T50" s="479"/>
    </row>
    <row r="51" spans="1:20" s="36" customFormat="1" ht="11.45" customHeight="1">
      <c r="A51" s="489"/>
      <c r="B51" s="279" t="s">
        <v>167</v>
      </c>
      <c r="C51" s="280">
        <v>27047</v>
      </c>
      <c r="D51" s="280">
        <v>27144</v>
      </c>
      <c r="E51" s="280">
        <v>10812</v>
      </c>
      <c r="F51" s="282">
        <v>0</v>
      </c>
      <c r="G51" s="282">
        <v>0</v>
      </c>
      <c r="H51" s="280">
        <v>16235</v>
      </c>
      <c r="I51" s="280">
        <v>16332</v>
      </c>
      <c r="J51" s="297">
        <v>-97</v>
      </c>
      <c r="K51" s="112">
        <v>13.784860964</v>
      </c>
      <c r="L51" s="112">
        <v>13.834298296</v>
      </c>
      <c r="M51" s="112">
        <v>5.510478676</v>
      </c>
      <c r="N51" s="112">
        <v>0</v>
      </c>
      <c r="O51" s="112">
        <v>0</v>
      </c>
      <c r="P51" s="112">
        <v>8.274382288</v>
      </c>
      <c r="Q51" s="112">
        <v>8.3238196200000001</v>
      </c>
      <c r="R51" s="337">
        <v>-4.9437000000000002E-2</v>
      </c>
      <c r="S51" s="281" t="s">
        <v>167</v>
      </c>
      <c r="T51" s="479"/>
    </row>
    <row r="52" spans="1:20" s="36" customFormat="1" ht="11.45" customHeight="1">
      <c r="A52" s="489"/>
      <c r="B52" s="279" t="s">
        <v>13</v>
      </c>
      <c r="C52" s="280">
        <v>785294</v>
      </c>
      <c r="D52" s="280">
        <v>767091</v>
      </c>
      <c r="E52" s="280">
        <v>294653</v>
      </c>
      <c r="F52" s="280">
        <v>232877</v>
      </c>
      <c r="G52" s="280">
        <v>232877</v>
      </c>
      <c r="H52" s="280">
        <v>257764</v>
      </c>
      <c r="I52" s="280">
        <v>239561</v>
      </c>
      <c r="J52" s="297">
        <v>18203</v>
      </c>
      <c r="K52" s="112">
        <v>11.555964448999999</v>
      </c>
      <c r="L52" s="112">
        <v>11.288098884</v>
      </c>
      <c r="M52" s="112">
        <v>4.3359551869999997</v>
      </c>
      <c r="N52" s="112">
        <v>3.4268927730000001</v>
      </c>
      <c r="O52" s="112">
        <v>3.4268927730000001</v>
      </c>
      <c r="P52" s="112">
        <v>3.793116489</v>
      </c>
      <c r="Q52" s="112">
        <v>3.5252509239999998</v>
      </c>
      <c r="R52" s="337">
        <v>0.26786556500000003</v>
      </c>
      <c r="S52" s="281" t="s">
        <v>13</v>
      </c>
      <c r="T52" s="479"/>
    </row>
    <row r="53" spans="1:20" s="36" customFormat="1" ht="11.45" customHeight="1">
      <c r="A53" s="489"/>
      <c r="B53" s="279" t="s">
        <v>14</v>
      </c>
      <c r="C53" s="280">
        <v>86606</v>
      </c>
      <c r="D53" s="280">
        <v>87884</v>
      </c>
      <c r="E53" s="280">
        <v>41381</v>
      </c>
      <c r="F53" s="280">
        <v>13949</v>
      </c>
      <c r="G53" s="280">
        <v>13949</v>
      </c>
      <c r="H53" s="280">
        <v>31276</v>
      </c>
      <c r="I53" s="280">
        <v>32554</v>
      </c>
      <c r="J53" s="297">
        <v>-1278</v>
      </c>
      <c r="K53" s="112">
        <v>11.546681491999999</v>
      </c>
      <c r="L53" s="112">
        <v>11.717069906000001</v>
      </c>
      <c r="M53" s="112">
        <v>5.5170915039999997</v>
      </c>
      <c r="N53" s="112">
        <v>1.859740204</v>
      </c>
      <c r="O53" s="112">
        <v>1.859740204</v>
      </c>
      <c r="P53" s="112">
        <v>4.1698497840000002</v>
      </c>
      <c r="Q53" s="112">
        <v>4.3402381969999997</v>
      </c>
      <c r="R53" s="337">
        <v>-0.17038841399999999</v>
      </c>
      <c r="S53" s="281" t="s">
        <v>14</v>
      </c>
      <c r="T53" s="479"/>
    </row>
    <row r="54" spans="1:20" s="36" customFormat="1" ht="11.45" customHeight="1">
      <c r="A54" s="489"/>
      <c r="B54" s="279" t="s">
        <v>15</v>
      </c>
      <c r="C54" s="280">
        <v>93285</v>
      </c>
      <c r="D54" s="280">
        <v>89212</v>
      </c>
      <c r="E54" s="280">
        <v>45022</v>
      </c>
      <c r="F54" s="280">
        <v>11999</v>
      </c>
      <c r="G54" s="280">
        <v>11999</v>
      </c>
      <c r="H54" s="280">
        <v>36264</v>
      </c>
      <c r="I54" s="280">
        <v>32191</v>
      </c>
      <c r="J54" s="297">
        <v>4073</v>
      </c>
      <c r="K54" s="112">
        <v>11.954550027</v>
      </c>
      <c r="L54" s="112">
        <v>11.432591703</v>
      </c>
      <c r="M54" s="112">
        <v>5.769606596</v>
      </c>
      <c r="N54" s="112">
        <v>1.5376817899999999</v>
      </c>
      <c r="O54" s="112">
        <v>1.5376817899999999</v>
      </c>
      <c r="P54" s="112">
        <v>4.6472616410000001</v>
      </c>
      <c r="Q54" s="112">
        <v>4.1253033170000002</v>
      </c>
      <c r="R54" s="337">
        <v>0.52195832399999997</v>
      </c>
      <c r="S54" s="281" t="s">
        <v>15</v>
      </c>
      <c r="T54" s="479"/>
    </row>
    <row r="55" spans="1:20" s="36" customFormat="1" ht="11.45" customHeight="1">
      <c r="A55" s="489"/>
      <c r="B55" s="279" t="s">
        <v>16</v>
      </c>
      <c r="C55" s="280">
        <v>116293</v>
      </c>
      <c r="D55" s="280">
        <v>113465</v>
      </c>
      <c r="E55" s="280">
        <v>44494</v>
      </c>
      <c r="F55" s="280">
        <v>20550</v>
      </c>
      <c r="G55" s="280">
        <v>20550</v>
      </c>
      <c r="H55" s="280">
        <v>51249</v>
      </c>
      <c r="I55" s="280">
        <v>48421</v>
      </c>
      <c r="J55" s="297">
        <v>2828</v>
      </c>
      <c r="K55" s="112">
        <v>11.208277855</v>
      </c>
      <c r="L55" s="112">
        <v>10.935716224</v>
      </c>
      <c r="M55" s="112">
        <v>4.2883158479999999</v>
      </c>
      <c r="N55" s="112">
        <v>1.9806016689999999</v>
      </c>
      <c r="O55" s="112">
        <v>1.9806016689999999</v>
      </c>
      <c r="P55" s="112">
        <v>4.9393603380000002</v>
      </c>
      <c r="Q55" s="112">
        <v>4.6667987069999999</v>
      </c>
      <c r="R55" s="337">
        <v>0.27256163100000003</v>
      </c>
      <c r="S55" s="281" t="s">
        <v>16</v>
      </c>
      <c r="T55" s="479"/>
    </row>
    <row r="56" spans="1:20" s="36" customFormat="1" ht="11.45" customHeight="1">
      <c r="A56" s="489"/>
      <c r="B56" s="279" t="s">
        <v>17</v>
      </c>
      <c r="C56" s="280">
        <v>93874</v>
      </c>
      <c r="D56" s="280">
        <v>95949</v>
      </c>
      <c r="E56" s="280">
        <v>46254</v>
      </c>
      <c r="F56" s="280">
        <v>21738</v>
      </c>
      <c r="G56" s="280">
        <v>21738</v>
      </c>
      <c r="H56" s="280">
        <v>25882</v>
      </c>
      <c r="I56" s="280">
        <v>27957</v>
      </c>
      <c r="J56" s="297">
        <v>-2075</v>
      </c>
      <c r="K56" s="112">
        <v>10.82749469</v>
      </c>
      <c r="L56" s="112">
        <v>11.066826683</v>
      </c>
      <c r="M56" s="112">
        <v>5.3349696340000001</v>
      </c>
      <c r="N56" s="112">
        <v>2.507276558</v>
      </c>
      <c r="O56" s="112">
        <v>2.507276558</v>
      </c>
      <c r="P56" s="112">
        <v>2.9852484989999999</v>
      </c>
      <c r="Q56" s="112">
        <v>3.2245804910000002</v>
      </c>
      <c r="R56" s="337">
        <v>-0.23933199299999999</v>
      </c>
      <c r="S56" s="281" t="s">
        <v>17</v>
      </c>
      <c r="T56" s="479"/>
    </row>
    <row r="57" spans="1:20" s="36" customFormat="1" ht="11.45" customHeight="1">
      <c r="A57" s="489"/>
      <c r="B57" s="279" t="s">
        <v>18</v>
      </c>
      <c r="C57" s="280">
        <v>87909</v>
      </c>
      <c r="D57" s="280">
        <v>88357</v>
      </c>
      <c r="E57" s="280">
        <v>33343</v>
      </c>
      <c r="F57" s="280">
        <v>20958</v>
      </c>
      <c r="G57" s="280">
        <v>20958</v>
      </c>
      <c r="H57" s="280">
        <v>33608</v>
      </c>
      <c r="I57" s="280">
        <v>34056</v>
      </c>
      <c r="J57" s="297">
        <v>-448</v>
      </c>
      <c r="K57" s="112">
        <v>9.9683517389999992</v>
      </c>
      <c r="L57" s="112">
        <v>10.019152244000001</v>
      </c>
      <c r="M57" s="112">
        <v>3.7808956079999998</v>
      </c>
      <c r="N57" s="112">
        <v>2.3765111170000002</v>
      </c>
      <c r="O57" s="112">
        <v>2.3765111170000002</v>
      </c>
      <c r="P57" s="112">
        <v>3.8109450140000001</v>
      </c>
      <c r="Q57" s="112">
        <v>3.8617455189999998</v>
      </c>
      <c r="R57" s="337">
        <v>-5.0800999999999999E-2</v>
      </c>
      <c r="S57" s="281" t="s">
        <v>18</v>
      </c>
      <c r="T57" s="479"/>
    </row>
    <row r="58" spans="1:20" s="36" customFormat="1" ht="11.45" customHeight="1">
      <c r="A58" s="489"/>
      <c r="B58" s="279" t="s">
        <v>19</v>
      </c>
      <c r="C58" s="280">
        <v>120272</v>
      </c>
      <c r="D58" s="280">
        <v>125505</v>
      </c>
      <c r="E58" s="280">
        <v>51032</v>
      </c>
      <c r="F58" s="280">
        <v>21587</v>
      </c>
      <c r="G58" s="280">
        <v>21587</v>
      </c>
      <c r="H58" s="280">
        <v>47653</v>
      </c>
      <c r="I58" s="280">
        <v>52886</v>
      </c>
      <c r="J58" s="297">
        <v>-5233</v>
      </c>
      <c r="K58" s="112">
        <v>9.6854983269999995</v>
      </c>
      <c r="L58" s="112">
        <v>10.106911564000001</v>
      </c>
      <c r="M58" s="112">
        <v>4.1096044850000002</v>
      </c>
      <c r="N58" s="112">
        <v>1.7384000630000001</v>
      </c>
      <c r="O58" s="112">
        <v>1.7384000630000001</v>
      </c>
      <c r="P58" s="112">
        <v>3.8374937789999999</v>
      </c>
      <c r="Q58" s="112">
        <v>4.2589070150000001</v>
      </c>
      <c r="R58" s="337">
        <v>-0.42141323600000002</v>
      </c>
      <c r="S58" s="281" t="s">
        <v>19</v>
      </c>
      <c r="T58" s="479"/>
    </row>
    <row r="59" spans="1:20" s="36" customFormat="1" ht="11.45" customHeight="1">
      <c r="A59" s="489"/>
      <c r="B59" s="279" t="s">
        <v>20</v>
      </c>
      <c r="C59" s="280">
        <v>152202</v>
      </c>
      <c r="D59" s="280">
        <v>157313</v>
      </c>
      <c r="E59" s="280">
        <v>73339</v>
      </c>
      <c r="F59" s="280">
        <v>29233</v>
      </c>
      <c r="G59" s="280">
        <v>29233</v>
      </c>
      <c r="H59" s="280">
        <v>49630</v>
      </c>
      <c r="I59" s="280">
        <v>54741</v>
      </c>
      <c r="J59" s="297">
        <v>-5111</v>
      </c>
      <c r="K59" s="112">
        <v>9.5608144930000005</v>
      </c>
      <c r="L59" s="112">
        <v>9.8818702139999992</v>
      </c>
      <c r="M59" s="112">
        <v>4.6069077549999999</v>
      </c>
      <c r="N59" s="112">
        <v>1.836318117</v>
      </c>
      <c r="O59" s="112">
        <v>1.836318117</v>
      </c>
      <c r="P59" s="112">
        <v>3.1175886209999999</v>
      </c>
      <c r="Q59" s="112">
        <v>3.4386443419999999</v>
      </c>
      <c r="R59" s="337">
        <v>-0.32105572100000002</v>
      </c>
      <c r="S59" s="281" t="s">
        <v>20</v>
      </c>
      <c r="T59" s="479"/>
    </row>
    <row r="60" spans="1:20" s="36" customFormat="1" ht="11.45" customHeight="1">
      <c r="A60" s="489"/>
      <c r="B60" s="279" t="s">
        <v>21</v>
      </c>
      <c r="C60" s="280">
        <v>38103</v>
      </c>
      <c r="D60" s="280">
        <v>40098</v>
      </c>
      <c r="E60" s="280">
        <v>20493</v>
      </c>
      <c r="F60" s="280">
        <v>3919</v>
      </c>
      <c r="G60" s="280">
        <v>3919</v>
      </c>
      <c r="H60" s="280">
        <v>13691</v>
      </c>
      <c r="I60" s="280">
        <v>15686</v>
      </c>
      <c r="J60" s="297">
        <v>-1995</v>
      </c>
      <c r="K60" s="112">
        <v>11.474422484</v>
      </c>
      <c r="L60" s="112">
        <v>12.075201238</v>
      </c>
      <c r="M60" s="112">
        <v>6.1713077700000003</v>
      </c>
      <c r="N60" s="112">
        <v>1.180176409</v>
      </c>
      <c r="O60" s="112">
        <v>1.180176409</v>
      </c>
      <c r="P60" s="112">
        <v>4.1229383049999999</v>
      </c>
      <c r="Q60" s="112">
        <v>4.7237170590000002</v>
      </c>
      <c r="R60" s="337">
        <v>-0.60077875400000003</v>
      </c>
      <c r="S60" s="281" t="s">
        <v>21</v>
      </c>
      <c r="T60" s="479"/>
    </row>
    <row r="61" spans="1:20" ht="6.95" customHeight="1" thickBot="1">
      <c r="A61" s="491"/>
      <c r="B61" s="15"/>
      <c r="C61" s="11"/>
      <c r="D61" s="11"/>
      <c r="E61" s="11"/>
      <c r="F61" s="11"/>
      <c r="G61" s="11"/>
      <c r="H61" s="11"/>
      <c r="I61" s="11"/>
      <c r="J61" s="11"/>
      <c r="K61" s="30"/>
      <c r="L61" s="30"/>
      <c r="M61" s="30"/>
      <c r="N61" s="30"/>
      <c r="O61" s="30"/>
      <c r="P61" s="30"/>
      <c r="Q61" s="30"/>
      <c r="R61" s="30"/>
      <c r="S61" s="20"/>
      <c r="T61" s="480"/>
    </row>
    <row r="62" spans="1:20">
      <c r="J62" s="301"/>
    </row>
  </sheetData>
  <mergeCells count="22">
    <mergeCell ref="T43:T61"/>
    <mergeCell ref="T3:T5"/>
    <mergeCell ref="T6:T24"/>
    <mergeCell ref="T25:T42"/>
    <mergeCell ref="A6:A24"/>
    <mergeCell ref="A25:A42"/>
    <mergeCell ref="A43:A61"/>
    <mergeCell ref="A3:A5"/>
    <mergeCell ref="S3:S5"/>
    <mergeCell ref="K3:L4"/>
    <mergeCell ref="M3:O3"/>
    <mergeCell ref="P3:Q4"/>
    <mergeCell ref="R3:R5"/>
    <mergeCell ref="M4:M5"/>
    <mergeCell ref="N4:O4"/>
    <mergeCell ref="J3:J5"/>
    <mergeCell ref="H3:I4"/>
    <mergeCell ref="E4:E5"/>
    <mergeCell ref="F4:G4"/>
    <mergeCell ref="B3:B5"/>
    <mergeCell ref="C3:D4"/>
    <mergeCell ref="E3:G3"/>
  </mergeCells>
  <phoneticPr fontId="2" type="noConversion"/>
  <conditionalFormatting sqref="J7:J24">
    <cfRule type="cellIs" dxfId="7" priority="2" operator="between">
      <formula>-1</formula>
      <formula>-999</formula>
    </cfRule>
  </conditionalFormatting>
  <conditionalFormatting sqref="J25:J60">
    <cfRule type="cellIs" dxfId="6" priority="1" operator="between">
      <formula>-1</formula>
      <formula>-999</formula>
    </cfRule>
  </conditionalFormatting>
  <printOptions horizontalCentered="1"/>
  <pageMargins left="0.78740157480314965" right="0.78740157480314965" top="0.78740157480314965" bottom="0.47244094488188981" header="0.51181102362204722" footer="1.0629921259842521"/>
  <pageSetup paperSize="9" scale="95" orientation="portrait" horizontalDpi="1200" verticalDpi="1200" r:id="rId1"/>
  <headerFooter alignWithMargins="0"/>
  <colBreaks count="1" manualBreakCount="1">
    <brk id="10" max="6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U59"/>
  <sheetViews>
    <sheetView showGridLines="0" view="pageBreakPreview" zoomScaleNormal="100" workbookViewId="0"/>
  </sheetViews>
  <sheetFormatPr defaultRowHeight="13.5"/>
  <cols>
    <col min="1" max="1" width="4.625" customWidth="1"/>
    <col min="2" max="2" width="10.125" style="46" customWidth="1"/>
    <col min="3" max="10" width="9.625" style="45" customWidth="1"/>
    <col min="11" max="19" width="8.625" style="45" customWidth="1"/>
    <col min="20" max="20" width="9.625" style="46" customWidth="1"/>
    <col min="21" max="21" width="4.625" style="3" customWidth="1"/>
    <col min="22" max="16384" width="9" style="45"/>
  </cols>
  <sheetData>
    <row r="1" spans="1:21" s="40" customFormat="1" ht="18.75">
      <c r="A1" s="38" t="str">
        <f>"5. 시도 및 성·연령별 순이동자 수, "&amp;표지!G5</f>
        <v>5. 시도 및 성·연령별 순이동자 수, 2025</v>
      </c>
      <c r="C1" s="39"/>
      <c r="D1" s="39"/>
      <c r="E1" s="39"/>
      <c r="F1" s="39"/>
      <c r="G1" s="39"/>
      <c r="H1" s="39"/>
      <c r="K1" s="38"/>
      <c r="L1" s="39"/>
      <c r="M1" s="39"/>
      <c r="N1" s="39"/>
      <c r="O1" s="39"/>
      <c r="P1" s="39"/>
      <c r="Q1" s="39"/>
      <c r="R1" s="39"/>
      <c r="S1" s="39"/>
      <c r="T1" s="62"/>
      <c r="U1" s="102"/>
    </row>
    <row r="2" spans="1:21" s="42" customFormat="1" ht="15" customHeight="1" thickBot="1">
      <c r="A2" s="4"/>
      <c r="B2" s="41"/>
      <c r="I2" s="43"/>
      <c r="J2" s="43"/>
      <c r="U2" s="43" t="s">
        <v>36</v>
      </c>
    </row>
    <row r="3" spans="1:21" s="44" customFormat="1" ht="30" customHeight="1">
      <c r="A3" s="93" t="s">
        <v>77</v>
      </c>
      <c r="B3" s="21" t="s">
        <v>160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7" t="s">
        <v>112</v>
      </c>
      <c r="K3" s="12" t="s">
        <v>13</v>
      </c>
      <c r="L3" s="12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7" t="s">
        <v>21</v>
      </c>
      <c r="T3" s="90" t="s">
        <v>159</v>
      </c>
      <c r="U3" s="17" t="s">
        <v>77</v>
      </c>
    </row>
    <row r="4" spans="1:21" s="44" customFormat="1" ht="6.95" customHeight="1">
      <c r="A4" s="506" t="s">
        <v>75</v>
      </c>
      <c r="B4" s="100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2"/>
      <c r="T4" s="19"/>
      <c r="U4" s="502" t="s">
        <v>75</v>
      </c>
    </row>
    <row r="5" spans="1:21" s="36" customFormat="1" ht="11.85" customHeight="1">
      <c r="A5" s="507"/>
      <c r="B5" s="303" t="s">
        <v>48</v>
      </c>
      <c r="C5" s="296">
        <v>-26769</v>
      </c>
      <c r="D5" s="296">
        <v>-12181</v>
      </c>
      <c r="E5" s="296">
        <v>-4272</v>
      </c>
      <c r="F5" s="296">
        <v>32264</v>
      </c>
      <c r="G5" s="296">
        <v>-13678</v>
      </c>
      <c r="H5" s="296">
        <v>2824</v>
      </c>
      <c r="I5" s="296">
        <v>-5474</v>
      </c>
      <c r="J5" s="296">
        <v>-47</v>
      </c>
      <c r="K5" s="296">
        <v>32970</v>
      </c>
      <c r="L5" s="296">
        <v>-1387</v>
      </c>
      <c r="M5" s="296">
        <v>10789</v>
      </c>
      <c r="N5" s="296">
        <v>8266</v>
      </c>
      <c r="O5" s="296">
        <v>-3575</v>
      </c>
      <c r="P5" s="296">
        <v>1334</v>
      </c>
      <c r="Q5" s="296">
        <v>-9214</v>
      </c>
      <c r="R5" s="296">
        <v>-7577</v>
      </c>
      <c r="S5" s="296">
        <v>-4273</v>
      </c>
      <c r="T5" s="302" t="s">
        <v>48</v>
      </c>
      <c r="U5" s="484"/>
    </row>
    <row r="6" spans="1:21" s="36" customFormat="1" ht="11.85" customHeight="1">
      <c r="A6" s="507"/>
      <c r="B6" s="303" t="s">
        <v>23</v>
      </c>
      <c r="C6" s="296">
        <v>-4984</v>
      </c>
      <c r="D6" s="296">
        <v>265</v>
      </c>
      <c r="E6" s="296">
        <v>999</v>
      </c>
      <c r="F6" s="296">
        <v>2431</v>
      </c>
      <c r="G6" s="296">
        <v>139</v>
      </c>
      <c r="H6" s="296">
        <v>-44</v>
      </c>
      <c r="I6" s="296">
        <v>-166</v>
      </c>
      <c r="J6" s="296">
        <v>143</v>
      </c>
      <c r="K6" s="296">
        <v>2173</v>
      </c>
      <c r="L6" s="296">
        <v>-274</v>
      </c>
      <c r="M6" s="296">
        <v>330</v>
      </c>
      <c r="N6" s="296">
        <v>-7</v>
      </c>
      <c r="O6" s="296">
        <v>65</v>
      </c>
      <c r="P6" s="296">
        <v>-260</v>
      </c>
      <c r="Q6" s="296">
        <v>-896</v>
      </c>
      <c r="R6" s="296">
        <v>55</v>
      </c>
      <c r="S6" s="296">
        <v>31</v>
      </c>
      <c r="T6" s="302" t="s">
        <v>23</v>
      </c>
      <c r="U6" s="484"/>
    </row>
    <row r="7" spans="1:21" s="36" customFormat="1" ht="11.85" customHeight="1">
      <c r="A7" s="507"/>
      <c r="B7" s="303" t="s">
        <v>24</v>
      </c>
      <c r="C7" s="296">
        <v>590</v>
      </c>
      <c r="D7" s="296">
        <v>141</v>
      </c>
      <c r="E7" s="296">
        <v>673</v>
      </c>
      <c r="F7" s="296">
        <v>1328</v>
      </c>
      <c r="G7" s="296">
        <v>-67</v>
      </c>
      <c r="H7" s="296">
        <v>182</v>
      </c>
      <c r="I7" s="296">
        <v>-306</v>
      </c>
      <c r="J7" s="296">
        <v>63</v>
      </c>
      <c r="K7" s="296">
        <v>-1378</v>
      </c>
      <c r="L7" s="296">
        <v>-130</v>
      </c>
      <c r="M7" s="296">
        <v>147</v>
      </c>
      <c r="N7" s="296">
        <v>52</v>
      </c>
      <c r="O7" s="296">
        <v>-20</v>
      </c>
      <c r="P7" s="296">
        <v>-116</v>
      </c>
      <c r="Q7" s="296">
        <v>-778</v>
      </c>
      <c r="R7" s="296">
        <v>-373</v>
      </c>
      <c r="S7" s="296">
        <v>-8</v>
      </c>
      <c r="T7" s="302" t="s">
        <v>24</v>
      </c>
      <c r="U7" s="484"/>
    </row>
    <row r="8" spans="1:21" s="36" customFormat="1" ht="11.85" customHeight="1">
      <c r="A8" s="507"/>
      <c r="B8" s="283" t="s">
        <v>25</v>
      </c>
      <c r="C8" s="296">
        <v>645</v>
      </c>
      <c r="D8" s="296">
        <v>-96</v>
      </c>
      <c r="E8" s="296">
        <v>344</v>
      </c>
      <c r="F8" s="296">
        <v>1125</v>
      </c>
      <c r="G8" s="296">
        <v>-268</v>
      </c>
      <c r="H8" s="296">
        <v>232</v>
      </c>
      <c r="I8" s="296">
        <v>-214</v>
      </c>
      <c r="J8" s="296">
        <v>0</v>
      </c>
      <c r="K8" s="296">
        <v>-1072</v>
      </c>
      <c r="L8" s="296">
        <v>-240</v>
      </c>
      <c r="M8" s="296">
        <v>111</v>
      </c>
      <c r="N8" s="296">
        <v>372</v>
      </c>
      <c r="O8" s="296">
        <v>-19</v>
      </c>
      <c r="P8" s="296">
        <v>-48</v>
      </c>
      <c r="Q8" s="296">
        <v>-416</v>
      </c>
      <c r="R8" s="296">
        <v>-219</v>
      </c>
      <c r="S8" s="296">
        <v>-237</v>
      </c>
      <c r="T8" s="302" t="s">
        <v>25</v>
      </c>
      <c r="U8" s="484"/>
    </row>
    <row r="9" spans="1:21" s="36" customFormat="1" ht="11.85" customHeight="1">
      <c r="A9" s="507"/>
      <c r="B9" s="283" t="s">
        <v>26</v>
      </c>
      <c r="C9" s="296">
        <v>8367</v>
      </c>
      <c r="D9" s="296">
        <v>556</v>
      </c>
      <c r="E9" s="296">
        <v>20</v>
      </c>
      <c r="F9" s="296">
        <v>701</v>
      </c>
      <c r="G9" s="296">
        <v>-721</v>
      </c>
      <c r="H9" s="296">
        <v>1135</v>
      </c>
      <c r="I9" s="296">
        <v>-1255</v>
      </c>
      <c r="J9" s="296">
        <v>-523</v>
      </c>
      <c r="K9" s="296">
        <v>-1378</v>
      </c>
      <c r="L9" s="296">
        <v>-100</v>
      </c>
      <c r="M9" s="296">
        <v>103</v>
      </c>
      <c r="N9" s="296">
        <v>-600</v>
      </c>
      <c r="O9" s="296">
        <v>-572</v>
      </c>
      <c r="P9" s="296">
        <v>-1032</v>
      </c>
      <c r="Q9" s="296">
        <v>-915</v>
      </c>
      <c r="R9" s="296">
        <v>-2956</v>
      </c>
      <c r="S9" s="296">
        <v>-830</v>
      </c>
      <c r="T9" s="302" t="s">
        <v>26</v>
      </c>
      <c r="U9" s="484"/>
    </row>
    <row r="10" spans="1:21" s="36" customFormat="1" ht="11.85" customHeight="1">
      <c r="A10" s="507"/>
      <c r="B10" s="283" t="s">
        <v>27</v>
      </c>
      <c r="C10" s="296">
        <v>25664</v>
      </c>
      <c r="D10" s="296">
        <v>927</v>
      </c>
      <c r="E10" s="296">
        <v>-1659</v>
      </c>
      <c r="F10" s="296">
        <v>1572</v>
      </c>
      <c r="G10" s="296">
        <v>-2064</v>
      </c>
      <c r="H10" s="296">
        <v>2042</v>
      </c>
      <c r="I10" s="296">
        <v>-1740</v>
      </c>
      <c r="J10" s="296">
        <v>-479</v>
      </c>
      <c r="K10" s="296">
        <v>2486</v>
      </c>
      <c r="L10" s="296">
        <v>-2293</v>
      </c>
      <c r="M10" s="296">
        <v>-546</v>
      </c>
      <c r="N10" s="296">
        <v>-2343</v>
      </c>
      <c r="O10" s="296">
        <v>-2849</v>
      </c>
      <c r="P10" s="296">
        <v>-3790</v>
      </c>
      <c r="Q10" s="296">
        <v>-5842</v>
      </c>
      <c r="R10" s="296">
        <v>-7496</v>
      </c>
      <c r="S10" s="296">
        <v>-1590</v>
      </c>
      <c r="T10" s="302" t="s">
        <v>27</v>
      </c>
      <c r="U10" s="484"/>
    </row>
    <row r="11" spans="1:21" s="36" customFormat="1" ht="11.85" customHeight="1">
      <c r="A11" s="507"/>
      <c r="B11" s="283" t="s">
        <v>28</v>
      </c>
      <c r="C11" s="296">
        <v>10273</v>
      </c>
      <c r="D11" s="296">
        <v>-5437</v>
      </c>
      <c r="E11" s="296">
        <v>-3225</v>
      </c>
      <c r="F11" s="296">
        <v>3432</v>
      </c>
      <c r="G11" s="296">
        <v>-3163</v>
      </c>
      <c r="H11" s="296">
        <v>206</v>
      </c>
      <c r="I11" s="296">
        <v>586</v>
      </c>
      <c r="J11" s="296">
        <v>773</v>
      </c>
      <c r="K11" s="296">
        <v>4953</v>
      </c>
      <c r="L11" s="296">
        <v>-1472</v>
      </c>
      <c r="M11" s="296">
        <v>996</v>
      </c>
      <c r="N11" s="296">
        <v>1210</v>
      </c>
      <c r="O11" s="296">
        <v>-2590</v>
      </c>
      <c r="P11" s="296">
        <v>-1304</v>
      </c>
      <c r="Q11" s="296">
        <v>-2997</v>
      </c>
      <c r="R11" s="296">
        <v>-1633</v>
      </c>
      <c r="S11" s="296">
        <v>-608</v>
      </c>
      <c r="T11" s="302" t="s">
        <v>28</v>
      </c>
      <c r="U11" s="484"/>
    </row>
    <row r="12" spans="1:21" s="36" customFormat="1" ht="11.85" customHeight="1">
      <c r="A12" s="507"/>
      <c r="B12" s="283" t="s">
        <v>29</v>
      </c>
      <c r="C12" s="296">
        <v>-10861</v>
      </c>
      <c r="D12" s="296">
        <v>-2236</v>
      </c>
      <c r="E12" s="296">
        <v>-444</v>
      </c>
      <c r="F12" s="296">
        <v>3830</v>
      </c>
      <c r="G12" s="296">
        <v>-1744</v>
      </c>
      <c r="H12" s="296">
        <v>320</v>
      </c>
      <c r="I12" s="296">
        <v>245</v>
      </c>
      <c r="J12" s="296">
        <v>847</v>
      </c>
      <c r="K12" s="296">
        <v>9716</v>
      </c>
      <c r="L12" s="296">
        <v>-267</v>
      </c>
      <c r="M12" s="296">
        <v>1125</v>
      </c>
      <c r="N12" s="296">
        <v>853</v>
      </c>
      <c r="O12" s="296">
        <v>-597</v>
      </c>
      <c r="P12" s="296">
        <v>339</v>
      </c>
      <c r="Q12" s="296">
        <v>-1225</v>
      </c>
      <c r="R12" s="296">
        <v>266</v>
      </c>
      <c r="S12" s="296">
        <v>-167</v>
      </c>
      <c r="T12" s="302" t="s">
        <v>29</v>
      </c>
      <c r="U12" s="484"/>
    </row>
    <row r="13" spans="1:21" s="36" customFormat="1" ht="11.85" customHeight="1">
      <c r="A13" s="507"/>
      <c r="B13" s="283" t="s">
        <v>30</v>
      </c>
      <c r="C13" s="296">
        <v>-7869</v>
      </c>
      <c r="D13" s="296">
        <v>-482</v>
      </c>
      <c r="E13" s="296">
        <v>655</v>
      </c>
      <c r="F13" s="296">
        <v>3638</v>
      </c>
      <c r="G13" s="296">
        <v>-1063</v>
      </c>
      <c r="H13" s="296">
        <v>-135</v>
      </c>
      <c r="I13" s="296">
        <v>-203</v>
      </c>
      <c r="J13" s="296">
        <v>104</v>
      </c>
      <c r="K13" s="296">
        <v>3898</v>
      </c>
      <c r="L13" s="296">
        <v>-145</v>
      </c>
      <c r="M13" s="296">
        <v>968</v>
      </c>
      <c r="N13" s="296">
        <v>572</v>
      </c>
      <c r="O13" s="296">
        <v>-38</v>
      </c>
      <c r="P13" s="296">
        <v>558</v>
      </c>
      <c r="Q13" s="296">
        <v>-695</v>
      </c>
      <c r="R13" s="296">
        <v>318</v>
      </c>
      <c r="S13" s="296">
        <v>-81</v>
      </c>
      <c r="T13" s="302" t="s">
        <v>30</v>
      </c>
      <c r="U13" s="484"/>
    </row>
    <row r="14" spans="1:21" s="36" customFormat="1" ht="11.85" customHeight="1">
      <c r="A14" s="507"/>
      <c r="B14" s="283" t="s">
        <v>31</v>
      </c>
      <c r="C14" s="296">
        <v>-4412</v>
      </c>
      <c r="D14" s="296">
        <v>-323</v>
      </c>
      <c r="E14" s="296">
        <v>534</v>
      </c>
      <c r="F14" s="296">
        <v>2902</v>
      </c>
      <c r="G14" s="296">
        <v>-702</v>
      </c>
      <c r="H14" s="296">
        <v>245</v>
      </c>
      <c r="I14" s="296">
        <v>-359</v>
      </c>
      <c r="J14" s="296">
        <v>-67</v>
      </c>
      <c r="K14" s="296">
        <v>-221</v>
      </c>
      <c r="L14" s="296">
        <v>27</v>
      </c>
      <c r="M14" s="296">
        <v>797</v>
      </c>
      <c r="N14" s="296">
        <v>808</v>
      </c>
      <c r="O14" s="296">
        <v>284</v>
      </c>
      <c r="P14" s="296">
        <v>726</v>
      </c>
      <c r="Q14" s="296">
        <v>-313</v>
      </c>
      <c r="R14" s="296">
        <v>49</v>
      </c>
      <c r="S14" s="296">
        <v>25</v>
      </c>
      <c r="T14" s="302" t="s">
        <v>31</v>
      </c>
      <c r="U14" s="484"/>
    </row>
    <row r="15" spans="1:21" s="36" customFormat="1" ht="11.85" customHeight="1">
      <c r="A15" s="507"/>
      <c r="B15" s="283" t="s">
        <v>32</v>
      </c>
      <c r="C15" s="296">
        <v>-4079</v>
      </c>
      <c r="D15" s="296">
        <v>-670</v>
      </c>
      <c r="E15" s="296">
        <v>123</v>
      </c>
      <c r="F15" s="296">
        <v>2170</v>
      </c>
      <c r="G15" s="296">
        <v>-617</v>
      </c>
      <c r="H15" s="296">
        <v>65</v>
      </c>
      <c r="I15" s="296">
        <v>-156</v>
      </c>
      <c r="J15" s="296">
        <v>-253</v>
      </c>
      <c r="K15" s="296">
        <v>-151</v>
      </c>
      <c r="L15" s="296">
        <v>242</v>
      </c>
      <c r="M15" s="296">
        <v>1083</v>
      </c>
      <c r="N15" s="296">
        <v>844</v>
      </c>
      <c r="O15" s="296">
        <v>247</v>
      </c>
      <c r="P15" s="296">
        <v>836</v>
      </c>
      <c r="Q15" s="296">
        <v>107</v>
      </c>
      <c r="R15" s="296">
        <v>376</v>
      </c>
      <c r="S15" s="296">
        <v>-167</v>
      </c>
      <c r="T15" s="302" t="s">
        <v>32</v>
      </c>
      <c r="U15" s="484"/>
    </row>
    <row r="16" spans="1:21" s="36" customFormat="1" ht="11.85" customHeight="1">
      <c r="A16" s="507"/>
      <c r="B16" s="283" t="s">
        <v>33</v>
      </c>
      <c r="C16" s="296">
        <v>-6493</v>
      </c>
      <c r="D16" s="296">
        <v>-709</v>
      </c>
      <c r="E16" s="296">
        <v>-417</v>
      </c>
      <c r="F16" s="296">
        <v>2073</v>
      </c>
      <c r="G16" s="296">
        <v>-919</v>
      </c>
      <c r="H16" s="296">
        <v>-346</v>
      </c>
      <c r="I16" s="296">
        <v>-191</v>
      </c>
      <c r="J16" s="296">
        <v>-289</v>
      </c>
      <c r="K16" s="296">
        <v>838</v>
      </c>
      <c r="L16" s="296">
        <v>644</v>
      </c>
      <c r="M16" s="296">
        <v>1312</v>
      </c>
      <c r="N16" s="296">
        <v>1132</v>
      </c>
      <c r="O16" s="296">
        <v>546</v>
      </c>
      <c r="P16" s="296">
        <v>1467</v>
      </c>
      <c r="Q16" s="296">
        <v>811</v>
      </c>
      <c r="R16" s="296">
        <v>669</v>
      </c>
      <c r="S16" s="296">
        <v>-128</v>
      </c>
      <c r="T16" s="302" t="s">
        <v>33</v>
      </c>
      <c r="U16" s="484"/>
    </row>
    <row r="17" spans="1:21" s="36" customFormat="1" ht="11.85" customHeight="1">
      <c r="A17" s="507"/>
      <c r="B17" s="283" t="s">
        <v>34</v>
      </c>
      <c r="C17" s="296">
        <v>-8089</v>
      </c>
      <c r="D17" s="296">
        <v>-1070</v>
      </c>
      <c r="E17" s="296">
        <v>-672</v>
      </c>
      <c r="F17" s="296">
        <v>1649</v>
      </c>
      <c r="G17" s="296">
        <v>-1107</v>
      </c>
      <c r="H17" s="296">
        <v>-563</v>
      </c>
      <c r="I17" s="296">
        <v>-480</v>
      </c>
      <c r="J17" s="296">
        <v>-154</v>
      </c>
      <c r="K17" s="296">
        <v>1522</v>
      </c>
      <c r="L17" s="296">
        <v>952</v>
      </c>
      <c r="M17" s="296">
        <v>1513</v>
      </c>
      <c r="N17" s="296">
        <v>1594</v>
      </c>
      <c r="O17" s="296">
        <v>735</v>
      </c>
      <c r="P17" s="296">
        <v>1865</v>
      </c>
      <c r="Q17" s="296">
        <v>1323</v>
      </c>
      <c r="R17" s="296">
        <v>1078</v>
      </c>
      <c r="S17" s="296">
        <v>-96</v>
      </c>
      <c r="T17" s="302" t="s">
        <v>34</v>
      </c>
      <c r="U17" s="484"/>
    </row>
    <row r="18" spans="1:21" s="36" customFormat="1" ht="11.85" customHeight="1">
      <c r="A18" s="507"/>
      <c r="B18" s="283" t="s">
        <v>35</v>
      </c>
      <c r="C18" s="296">
        <v>-8070</v>
      </c>
      <c r="D18" s="296">
        <v>-1206</v>
      </c>
      <c r="E18" s="296">
        <v>-788</v>
      </c>
      <c r="F18" s="296">
        <v>1187</v>
      </c>
      <c r="G18" s="296">
        <v>-1016</v>
      </c>
      <c r="H18" s="296">
        <v>-517</v>
      </c>
      <c r="I18" s="296">
        <v>-928</v>
      </c>
      <c r="J18" s="296">
        <v>-43</v>
      </c>
      <c r="K18" s="296">
        <v>1302</v>
      </c>
      <c r="L18" s="296">
        <v>1116</v>
      </c>
      <c r="M18" s="296">
        <v>1454</v>
      </c>
      <c r="N18" s="296">
        <v>1983</v>
      </c>
      <c r="O18" s="296">
        <v>847</v>
      </c>
      <c r="P18" s="296">
        <v>1838</v>
      </c>
      <c r="Q18" s="296">
        <v>1832</v>
      </c>
      <c r="R18" s="296">
        <v>1096</v>
      </c>
      <c r="S18" s="296">
        <v>-87</v>
      </c>
      <c r="T18" s="302" t="s">
        <v>35</v>
      </c>
      <c r="U18" s="484"/>
    </row>
    <row r="19" spans="1:21" s="36" customFormat="1" ht="11.85" customHeight="1">
      <c r="A19" s="507"/>
      <c r="B19" s="283" t="s">
        <v>37</v>
      </c>
      <c r="C19" s="296">
        <v>-6482</v>
      </c>
      <c r="D19" s="296">
        <v>-801</v>
      </c>
      <c r="E19" s="296">
        <v>-501</v>
      </c>
      <c r="F19" s="296">
        <v>1234</v>
      </c>
      <c r="G19" s="296">
        <v>-542</v>
      </c>
      <c r="H19" s="296">
        <v>-250</v>
      </c>
      <c r="I19" s="296">
        <v>-438</v>
      </c>
      <c r="J19" s="296">
        <v>-120</v>
      </c>
      <c r="K19" s="296">
        <v>2096</v>
      </c>
      <c r="L19" s="296">
        <v>741</v>
      </c>
      <c r="M19" s="296">
        <v>889</v>
      </c>
      <c r="N19" s="296">
        <v>1193</v>
      </c>
      <c r="O19" s="296">
        <v>512</v>
      </c>
      <c r="P19" s="296">
        <v>1007</v>
      </c>
      <c r="Q19" s="296">
        <v>929</v>
      </c>
      <c r="R19" s="296">
        <v>624</v>
      </c>
      <c r="S19" s="296">
        <v>-91</v>
      </c>
      <c r="T19" s="302" t="s">
        <v>37</v>
      </c>
      <c r="U19" s="484"/>
    </row>
    <row r="20" spans="1:21" s="36" customFormat="1" ht="11.85" customHeight="1">
      <c r="A20" s="507"/>
      <c r="B20" s="283" t="s">
        <v>38</v>
      </c>
      <c r="C20" s="296">
        <v>-3952</v>
      </c>
      <c r="D20" s="296">
        <v>-458</v>
      </c>
      <c r="E20" s="296">
        <v>3</v>
      </c>
      <c r="F20" s="296">
        <v>778</v>
      </c>
      <c r="G20" s="296">
        <v>-164</v>
      </c>
      <c r="H20" s="296">
        <v>-73</v>
      </c>
      <c r="I20" s="296">
        <v>-148</v>
      </c>
      <c r="J20" s="296">
        <v>-14</v>
      </c>
      <c r="K20" s="296">
        <v>1724</v>
      </c>
      <c r="L20" s="296">
        <v>120</v>
      </c>
      <c r="M20" s="296">
        <v>314</v>
      </c>
      <c r="N20" s="296">
        <v>531</v>
      </c>
      <c r="O20" s="296">
        <v>238</v>
      </c>
      <c r="P20" s="296">
        <v>415</v>
      </c>
      <c r="Q20" s="296">
        <v>358</v>
      </c>
      <c r="R20" s="296">
        <v>407</v>
      </c>
      <c r="S20" s="296">
        <v>-79</v>
      </c>
      <c r="T20" s="302" t="s">
        <v>38</v>
      </c>
      <c r="U20" s="484"/>
    </row>
    <row r="21" spans="1:21" s="36" customFormat="1" ht="11.85" customHeight="1">
      <c r="A21" s="507"/>
      <c r="B21" s="283" t="s">
        <v>39</v>
      </c>
      <c r="C21" s="296">
        <v>-2686</v>
      </c>
      <c r="D21" s="296">
        <v>-269</v>
      </c>
      <c r="E21" s="296">
        <v>2</v>
      </c>
      <c r="F21" s="296">
        <v>734</v>
      </c>
      <c r="G21" s="296">
        <v>70</v>
      </c>
      <c r="H21" s="296">
        <v>107</v>
      </c>
      <c r="I21" s="296">
        <v>5</v>
      </c>
      <c r="J21" s="296">
        <v>1</v>
      </c>
      <c r="K21" s="296">
        <v>1814</v>
      </c>
      <c r="L21" s="296">
        <v>-66</v>
      </c>
      <c r="M21" s="296">
        <v>104</v>
      </c>
      <c r="N21" s="296">
        <v>219</v>
      </c>
      <c r="O21" s="296">
        <v>24</v>
      </c>
      <c r="P21" s="296">
        <v>-93</v>
      </c>
      <c r="Q21" s="296">
        <v>-62</v>
      </c>
      <c r="R21" s="296">
        <v>195</v>
      </c>
      <c r="S21" s="296">
        <v>-99</v>
      </c>
      <c r="T21" s="302" t="s">
        <v>39</v>
      </c>
      <c r="U21" s="484"/>
    </row>
    <row r="22" spans="1:21" s="36" customFormat="1" ht="19.5" customHeight="1">
      <c r="A22" s="508"/>
      <c r="B22" s="283" t="s">
        <v>165</v>
      </c>
      <c r="C22" s="296">
        <v>-4331</v>
      </c>
      <c r="D22" s="296">
        <v>-313</v>
      </c>
      <c r="E22" s="296">
        <v>81</v>
      </c>
      <c r="F22" s="296">
        <v>1480</v>
      </c>
      <c r="G22" s="296">
        <v>270</v>
      </c>
      <c r="H22" s="296">
        <v>218</v>
      </c>
      <c r="I22" s="296">
        <v>274</v>
      </c>
      <c r="J22" s="296">
        <v>-36</v>
      </c>
      <c r="K22" s="296">
        <v>4648</v>
      </c>
      <c r="L22" s="296">
        <v>-242</v>
      </c>
      <c r="M22" s="296">
        <v>89</v>
      </c>
      <c r="N22" s="296">
        <v>-147</v>
      </c>
      <c r="O22" s="296">
        <v>-388</v>
      </c>
      <c r="P22" s="296">
        <v>-1074</v>
      </c>
      <c r="Q22" s="296">
        <v>-435</v>
      </c>
      <c r="R22" s="296">
        <v>-33</v>
      </c>
      <c r="S22" s="296">
        <v>-61</v>
      </c>
      <c r="T22" s="283" t="s">
        <v>165</v>
      </c>
      <c r="U22" s="503"/>
    </row>
    <row r="23" spans="1:21" s="276" customFormat="1" ht="19.5" customHeight="1">
      <c r="A23" s="509" t="s">
        <v>44</v>
      </c>
      <c r="B23" s="293" t="s">
        <v>48</v>
      </c>
      <c r="C23" s="304">
        <v>-18077</v>
      </c>
      <c r="D23" s="304">
        <v>-6898</v>
      </c>
      <c r="E23" s="304">
        <v>-3311</v>
      </c>
      <c r="F23" s="304">
        <v>16410</v>
      </c>
      <c r="G23" s="304">
        <v>-6814</v>
      </c>
      <c r="H23" s="304">
        <v>1598</v>
      </c>
      <c r="I23" s="304">
        <v>-1327</v>
      </c>
      <c r="J23" s="304">
        <v>50</v>
      </c>
      <c r="K23" s="304">
        <v>14767</v>
      </c>
      <c r="L23" s="304">
        <v>-109</v>
      </c>
      <c r="M23" s="304">
        <v>6716</v>
      </c>
      <c r="N23" s="304">
        <v>5438</v>
      </c>
      <c r="O23" s="304">
        <v>-1500</v>
      </c>
      <c r="P23" s="304">
        <v>1782</v>
      </c>
      <c r="Q23" s="304">
        <v>-3981</v>
      </c>
      <c r="R23" s="304">
        <v>-2466</v>
      </c>
      <c r="S23" s="304">
        <v>-2278</v>
      </c>
      <c r="T23" s="305" t="s">
        <v>48</v>
      </c>
      <c r="U23" s="504" t="s">
        <v>44</v>
      </c>
    </row>
    <row r="24" spans="1:21" s="36" customFormat="1" ht="11.85" customHeight="1">
      <c r="A24" s="510"/>
      <c r="B24" s="303" t="s">
        <v>23</v>
      </c>
      <c r="C24" s="296">
        <v>-2577</v>
      </c>
      <c r="D24" s="296">
        <v>129</v>
      </c>
      <c r="E24" s="296">
        <v>520</v>
      </c>
      <c r="F24" s="296">
        <v>1243</v>
      </c>
      <c r="G24" s="296">
        <v>85</v>
      </c>
      <c r="H24" s="296">
        <v>-53</v>
      </c>
      <c r="I24" s="296">
        <v>-93</v>
      </c>
      <c r="J24" s="296">
        <v>101</v>
      </c>
      <c r="K24" s="296">
        <v>1136</v>
      </c>
      <c r="L24" s="296">
        <v>-127</v>
      </c>
      <c r="M24" s="296">
        <v>166</v>
      </c>
      <c r="N24" s="296">
        <v>-60</v>
      </c>
      <c r="O24" s="296">
        <v>45</v>
      </c>
      <c r="P24" s="296">
        <v>-132</v>
      </c>
      <c r="Q24" s="296">
        <v>-474</v>
      </c>
      <c r="R24" s="296">
        <v>69</v>
      </c>
      <c r="S24" s="296">
        <v>22</v>
      </c>
      <c r="T24" s="302" t="s">
        <v>23</v>
      </c>
      <c r="U24" s="484"/>
    </row>
    <row r="25" spans="1:21" s="36" customFormat="1" ht="11.85" customHeight="1">
      <c r="A25" s="510"/>
      <c r="B25" s="303" t="s">
        <v>24</v>
      </c>
      <c r="C25" s="296">
        <v>335</v>
      </c>
      <c r="D25" s="296">
        <v>68</v>
      </c>
      <c r="E25" s="296">
        <v>342</v>
      </c>
      <c r="F25" s="296">
        <v>690</v>
      </c>
      <c r="G25" s="296">
        <v>-33</v>
      </c>
      <c r="H25" s="296">
        <v>104</v>
      </c>
      <c r="I25" s="296">
        <v>-140</v>
      </c>
      <c r="J25" s="296">
        <v>39</v>
      </c>
      <c r="K25" s="296">
        <v>-697</v>
      </c>
      <c r="L25" s="296">
        <v>-110</v>
      </c>
      <c r="M25" s="296">
        <v>81</v>
      </c>
      <c r="N25" s="296">
        <v>-9</v>
      </c>
      <c r="O25" s="296">
        <v>-12</v>
      </c>
      <c r="P25" s="296">
        <v>-6</v>
      </c>
      <c r="Q25" s="296">
        <v>-435</v>
      </c>
      <c r="R25" s="296">
        <v>-184</v>
      </c>
      <c r="S25" s="296">
        <v>-33</v>
      </c>
      <c r="T25" s="302" t="s">
        <v>24</v>
      </c>
      <c r="U25" s="484"/>
    </row>
    <row r="26" spans="1:21" s="36" customFormat="1" ht="11.85" customHeight="1">
      <c r="A26" s="510"/>
      <c r="B26" s="283" t="s">
        <v>25</v>
      </c>
      <c r="C26" s="296">
        <v>316</v>
      </c>
      <c r="D26" s="296">
        <v>-33</v>
      </c>
      <c r="E26" s="296">
        <v>172</v>
      </c>
      <c r="F26" s="296">
        <v>575</v>
      </c>
      <c r="G26" s="296">
        <v>-137</v>
      </c>
      <c r="H26" s="296">
        <v>120</v>
      </c>
      <c r="I26" s="296">
        <v>-93</v>
      </c>
      <c r="J26" s="296">
        <v>-1</v>
      </c>
      <c r="K26" s="296">
        <v>-733</v>
      </c>
      <c r="L26" s="296">
        <v>-93</v>
      </c>
      <c r="M26" s="296">
        <v>110</v>
      </c>
      <c r="N26" s="296">
        <v>197</v>
      </c>
      <c r="O26" s="296">
        <v>-55</v>
      </c>
      <c r="P26" s="296">
        <v>0</v>
      </c>
      <c r="Q26" s="296">
        <v>-188</v>
      </c>
      <c r="R26" s="296">
        <v>-29</v>
      </c>
      <c r="S26" s="296">
        <v>-128</v>
      </c>
      <c r="T26" s="302" t="s">
        <v>25</v>
      </c>
      <c r="U26" s="484"/>
    </row>
    <row r="27" spans="1:21" s="36" customFormat="1" ht="11.85" customHeight="1">
      <c r="A27" s="510"/>
      <c r="B27" s="283" t="s">
        <v>26</v>
      </c>
      <c r="C27" s="296">
        <v>2182</v>
      </c>
      <c r="D27" s="296">
        <v>-193</v>
      </c>
      <c r="E27" s="296">
        <v>-126</v>
      </c>
      <c r="F27" s="296">
        <v>385</v>
      </c>
      <c r="G27" s="296">
        <v>-382</v>
      </c>
      <c r="H27" s="296">
        <v>207</v>
      </c>
      <c r="I27" s="296">
        <v>-357</v>
      </c>
      <c r="J27" s="296">
        <v>-181</v>
      </c>
      <c r="K27" s="296">
        <v>-274</v>
      </c>
      <c r="L27" s="296">
        <v>76</v>
      </c>
      <c r="M27" s="296">
        <v>234</v>
      </c>
      <c r="N27" s="296">
        <v>-256</v>
      </c>
      <c r="O27" s="296">
        <v>-116</v>
      </c>
      <c r="P27" s="296">
        <v>-150</v>
      </c>
      <c r="Q27" s="296">
        <v>-51</v>
      </c>
      <c r="R27" s="296">
        <v>-663</v>
      </c>
      <c r="S27" s="296">
        <v>-335</v>
      </c>
      <c r="T27" s="302" t="s">
        <v>26</v>
      </c>
      <c r="U27" s="484"/>
    </row>
    <row r="28" spans="1:21" s="36" customFormat="1" ht="11.85" customHeight="1">
      <c r="A28" s="510"/>
      <c r="B28" s="283" t="s">
        <v>27</v>
      </c>
      <c r="C28" s="296">
        <v>9021</v>
      </c>
      <c r="D28" s="296">
        <v>827</v>
      </c>
      <c r="E28" s="296">
        <v>-878</v>
      </c>
      <c r="F28" s="296">
        <v>571</v>
      </c>
      <c r="G28" s="296">
        <v>-864</v>
      </c>
      <c r="H28" s="296">
        <v>1540</v>
      </c>
      <c r="I28" s="296">
        <v>-753</v>
      </c>
      <c r="J28" s="296">
        <v>-231</v>
      </c>
      <c r="K28" s="296">
        <v>1831</v>
      </c>
      <c r="L28" s="296">
        <v>-571</v>
      </c>
      <c r="M28" s="296">
        <v>163</v>
      </c>
      <c r="N28" s="296">
        <v>-667</v>
      </c>
      <c r="O28" s="296">
        <v>-1227</v>
      </c>
      <c r="P28" s="296">
        <v>-1723</v>
      </c>
      <c r="Q28" s="296">
        <v>-2501</v>
      </c>
      <c r="R28" s="296">
        <v>-3623</v>
      </c>
      <c r="S28" s="296">
        <v>-915</v>
      </c>
      <c r="T28" s="302" t="s">
        <v>27</v>
      </c>
      <c r="U28" s="484"/>
    </row>
    <row r="29" spans="1:21" s="36" customFormat="1" ht="11.85" customHeight="1">
      <c r="A29" s="510"/>
      <c r="B29" s="283" t="s">
        <v>28</v>
      </c>
      <c r="C29" s="296">
        <v>6095</v>
      </c>
      <c r="D29" s="296">
        <v>-3239</v>
      </c>
      <c r="E29" s="296">
        <v>-1965</v>
      </c>
      <c r="F29" s="296">
        <v>2090</v>
      </c>
      <c r="G29" s="296">
        <v>-1779</v>
      </c>
      <c r="H29" s="296">
        <v>228</v>
      </c>
      <c r="I29" s="296">
        <v>784</v>
      </c>
      <c r="J29" s="296">
        <v>319</v>
      </c>
      <c r="K29" s="296">
        <v>3467</v>
      </c>
      <c r="L29" s="296">
        <v>-1124</v>
      </c>
      <c r="M29" s="296">
        <v>690</v>
      </c>
      <c r="N29" s="296">
        <v>774</v>
      </c>
      <c r="O29" s="296">
        <v>-1650</v>
      </c>
      <c r="P29" s="296">
        <v>-961</v>
      </c>
      <c r="Q29" s="296">
        <v>-2067</v>
      </c>
      <c r="R29" s="296">
        <v>-1265</v>
      </c>
      <c r="S29" s="296">
        <v>-397</v>
      </c>
      <c r="T29" s="302" t="s">
        <v>28</v>
      </c>
      <c r="U29" s="484"/>
    </row>
    <row r="30" spans="1:21" s="36" customFormat="1" ht="11.85" customHeight="1">
      <c r="A30" s="510"/>
      <c r="B30" s="283" t="s">
        <v>29</v>
      </c>
      <c r="C30" s="296">
        <v>-4699</v>
      </c>
      <c r="D30" s="296">
        <v>-1025</v>
      </c>
      <c r="E30" s="296">
        <v>-329</v>
      </c>
      <c r="F30" s="296">
        <v>2169</v>
      </c>
      <c r="G30" s="296">
        <v>-765</v>
      </c>
      <c r="H30" s="296">
        <v>147</v>
      </c>
      <c r="I30" s="296">
        <v>247</v>
      </c>
      <c r="J30" s="296">
        <v>527</v>
      </c>
      <c r="K30" s="296">
        <v>4369</v>
      </c>
      <c r="L30" s="296">
        <v>-309</v>
      </c>
      <c r="M30" s="296">
        <v>649</v>
      </c>
      <c r="N30" s="296">
        <v>412</v>
      </c>
      <c r="O30" s="296">
        <v>-431</v>
      </c>
      <c r="P30" s="296">
        <v>-49</v>
      </c>
      <c r="Q30" s="296">
        <v>-893</v>
      </c>
      <c r="R30" s="296">
        <v>132</v>
      </c>
      <c r="S30" s="296">
        <v>-152</v>
      </c>
      <c r="T30" s="302" t="s">
        <v>29</v>
      </c>
      <c r="U30" s="484"/>
    </row>
    <row r="31" spans="1:21" s="36" customFormat="1" ht="11.85" customHeight="1">
      <c r="A31" s="510"/>
      <c r="B31" s="283" t="s">
        <v>30</v>
      </c>
      <c r="C31" s="296">
        <v>-4245</v>
      </c>
      <c r="D31" s="296">
        <v>-254</v>
      </c>
      <c r="E31" s="296">
        <v>242</v>
      </c>
      <c r="F31" s="296">
        <v>1939</v>
      </c>
      <c r="G31" s="296">
        <v>-594</v>
      </c>
      <c r="H31" s="296">
        <v>-50</v>
      </c>
      <c r="I31" s="296">
        <v>-13</v>
      </c>
      <c r="J31" s="296">
        <v>40</v>
      </c>
      <c r="K31" s="296">
        <v>1958</v>
      </c>
      <c r="L31" s="296">
        <v>-58</v>
      </c>
      <c r="M31" s="296">
        <v>551</v>
      </c>
      <c r="N31" s="296">
        <v>252</v>
      </c>
      <c r="O31" s="296">
        <v>-26</v>
      </c>
      <c r="P31" s="296">
        <v>383</v>
      </c>
      <c r="Q31" s="296">
        <v>-341</v>
      </c>
      <c r="R31" s="296">
        <v>272</v>
      </c>
      <c r="S31" s="296">
        <v>-56</v>
      </c>
      <c r="T31" s="302" t="s">
        <v>30</v>
      </c>
      <c r="U31" s="484"/>
    </row>
    <row r="32" spans="1:21" s="36" customFormat="1" ht="11.85" customHeight="1">
      <c r="A32" s="510"/>
      <c r="B32" s="283" t="s">
        <v>31</v>
      </c>
      <c r="C32" s="296">
        <v>-2735</v>
      </c>
      <c r="D32" s="296">
        <v>-231</v>
      </c>
      <c r="E32" s="296">
        <v>218</v>
      </c>
      <c r="F32" s="296">
        <v>1674</v>
      </c>
      <c r="G32" s="296">
        <v>-431</v>
      </c>
      <c r="H32" s="296">
        <v>71</v>
      </c>
      <c r="I32" s="296">
        <v>-161</v>
      </c>
      <c r="J32" s="296">
        <v>-36</v>
      </c>
      <c r="K32" s="296">
        <v>-43</v>
      </c>
      <c r="L32" s="296">
        <v>-8</v>
      </c>
      <c r="M32" s="296">
        <v>488</v>
      </c>
      <c r="N32" s="296">
        <v>491</v>
      </c>
      <c r="O32" s="296">
        <v>143</v>
      </c>
      <c r="P32" s="296">
        <v>483</v>
      </c>
      <c r="Q32" s="296">
        <v>-124</v>
      </c>
      <c r="R32" s="296">
        <v>165</v>
      </c>
      <c r="S32" s="296">
        <v>36</v>
      </c>
      <c r="T32" s="302" t="s">
        <v>31</v>
      </c>
      <c r="U32" s="484"/>
    </row>
    <row r="33" spans="1:21" s="36" customFormat="1" ht="11.85" customHeight="1">
      <c r="A33" s="510"/>
      <c r="B33" s="283" t="s">
        <v>32</v>
      </c>
      <c r="C33" s="296">
        <v>-2189</v>
      </c>
      <c r="D33" s="296">
        <v>-341</v>
      </c>
      <c r="E33" s="296">
        <v>-12</v>
      </c>
      <c r="F33" s="296">
        <v>1202</v>
      </c>
      <c r="G33" s="296">
        <v>-256</v>
      </c>
      <c r="H33" s="296">
        <v>17</v>
      </c>
      <c r="I33" s="296">
        <v>40</v>
      </c>
      <c r="J33" s="296">
        <v>-120</v>
      </c>
      <c r="K33" s="296">
        <v>-631</v>
      </c>
      <c r="L33" s="296">
        <v>165</v>
      </c>
      <c r="M33" s="296">
        <v>630</v>
      </c>
      <c r="N33" s="296">
        <v>556</v>
      </c>
      <c r="O33" s="296">
        <v>137</v>
      </c>
      <c r="P33" s="296">
        <v>476</v>
      </c>
      <c r="Q33" s="296">
        <v>89</v>
      </c>
      <c r="R33" s="296">
        <v>285</v>
      </c>
      <c r="S33" s="296">
        <v>-48</v>
      </c>
      <c r="T33" s="302" t="s">
        <v>32</v>
      </c>
      <c r="U33" s="484"/>
    </row>
    <row r="34" spans="1:21" s="36" customFormat="1" ht="11.85" customHeight="1">
      <c r="A34" s="510"/>
      <c r="B34" s="283" t="s">
        <v>33</v>
      </c>
      <c r="C34" s="296">
        <v>-3254</v>
      </c>
      <c r="D34" s="296">
        <v>-435</v>
      </c>
      <c r="E34" s="296">
        <v>-235</v>
      </c>
      <c r="F34" s="296">
        <v>1063</v>
      </c>
      <c r="G34" s="296">
        <v>-370</v>
      </c>
      <c r="H34" s="296">
        <v>-83</v>
      </c>
      <c r="I34" s="296">
        <v>101</v>
      </c>
      <c r="J34" s="296">
        <v>-198</v>
      </c>
      <c r="K34" s="296">
        <v>1</v>
      </c>
      <c r="L34" s="296">
        <v>323</v>
      </c>
      <c r="M34" s="296">
        <v>668</v>
      </c>
      <c r="N34" s="296">
        <v>599</v>
      </c>
      <c r="O34" s="296">
        <v>300</v>
      </c>
      <c r="P34" s="296">
        <v>730</v>
      </c>
      <c r="Q34" s="296">
        <v>443</v>
      </c>
      <c r="R34" s="296">
        <v>444</v>
      </c>
      <c r="S34" s="296">
        <v>-97</v>
      </c>
      <c r="T34" s="302" t="s">
        <v>33</v>
      </c>
      <c r="U34" s="484"/>
    </row>
    <row r="35" spans="1:21" s="36" customFormat="1" ht="11.85" customHeight="1">
      <c r="A35" s="510"/>
      <c r="B35" s="283" t="s">
        <v>34</v>
      </c>
      <c r="C35" s="296">
        <v>-4050</v>
      </c>
      <c r="D35" s="296">
        <v>-513</v>
      </c>
      <c r="E35" s="296">
        <v>-417</v>
      </c>
      <c r="F35" s="296">
        <v>786</v>
      </c>
      <c r="G35" s="296">
        <v>-525</v>
      </c>
      <c r="H35" s="296">
        <v>-254</v>
      </c>
      <c r="I35" s="296">
        <v>-126</v>
      </c>
      <c r="J35" s="296">
        <v>-86</v>
      </c>
      <c r="K35" s="296">
        <v>309</v>
      </c>
      <c r="L35" s="296">
        <v>477</v>
      </c>
      <c r="M35" s="296">
        <v>756</v>
      </c>
      <c r="N35" s="296">
        <v>824</v>
      </c>
      <c r="O35" s="296">
        <v>411</v>
      </c>
      <c r="P35" s="296">
        <v>979</v>
      </c>
      <c r="Q35" s="296">
        <v>824</v>
      </c>
      <c r="R35" s="296">
        <v>612</v>
      </c>
      <c r="S35" s="296">
        <v>-7</v>
      </c>
      <c r="T35" s="302" t="s">
        <v>34</v>
      </c>
      <c r="U35" s="484"/>
    </row>
    <row r="36" spans="1:21" s="36" customFormat="1" ht="11.85" customHeight="1">
      <c r="A36" s="510"/>
      <c r="B36" s="283" t="s">
        <v>35</v>
      </c>
      <c r="C36" s="296">
        <v>-4279</v>
      </c>
      <c r="D36" s="296">
        <v>-715</v>
      </c>
      <c r="E36" s="296">
        <v>-514</v>
      </c>
      <c r="F36" s="296">
        <v>530</v>
      </c>
      <c r="G36" s="296">
        <v>-507</v>
      </c>
      <c r="H36" s="296">
        <v>-308</v>
      </c>
      <c r="I36" s="296">
        <v>-486</v>
      </c>
      <c r="J36" s="296">
        <v>-59</v>
      </c>
      <c r="K36" s="296">
        <v>199</v>
      </c>
      <c r="L36" s="296">
        <v>698</v>
      </c>
      <c r="M36" s="296">
        <v>789</v>
      </c>
      <c r="N36" s="296">
        <v>1152</v>
      </c>
      <c r="O36" s="296">
        <v>513</v>
      </c>
      <c r="P36" s="296">
        <v>1142</v>
      </c>
      <c r="Q36" s="296">
        <v>1127</v>
      </c>
      <c r="R36" s="296">
        <v>743</v>
      </c>
      <c r="S36" s="296">
        <v>-25</v>
      </c>
      <c r="T36" s="302" t="s">
        <v>35</v>
      </c>
      <c r="U36" s="484"/>
    </row>
    <row r="37" spans="1:21" s="36" customFormat="1" ht="11.85" customHeight="1">
      <c r="A37" s="510"/>
      <c r="B37" s="283" t="s">
        <v>37</v>
      </c>
      <c r="C37" s="296">
        <v>-3415</v>
      </c>
      <c r="D37" s="296">
        <v>-435</v>
      </c>
      <c r="E37" s="296">
        <v>-360</v>
      </c>
      <c r="F37" s="296">
        <v>504</v>
      </c>
      <c r="G37" s="296">
        <v>-299</v>
      </c>
      <c r="H37" s="296">
        <v>-141</v>
      </c>
      <c r="I37" s="296">
        <v>-251</v>
      </c>
      <c r="J37" s="296">
        <v>-61</v>
      </c>
      <c r="K37" s="296">
        <v>895</v>
      </c>
      <c r="L37" s="296">
        <v>459</v>
      </c>
      <c r="M37" s="296">
        <v>533</v>
      </c>
      <c r="N37" s="296">
        <v>720</v>
      </c>
      <c r="O37" s="296">
        <v>369</v>
      </c>
      <c r="P37" s="296">
        <v>601</v>
      </c>
      <c r="Q37" s="296">
        <v>602</v>
      </c>
      <c r="R37" s="296">
        <v>332</v>
      </c>
      <c r="S37" s="296">
        <v>-53</v>
      </c>
      <c r="T37" s="302" t="s">
        <v>37</v>
      </c>
      <c r="U37" s="484"/>
    </row>
    <row r="38" spans="1:21" s="36" customFormat="1" ht="11.85" customHeight="1">
      <c r="A38" s="510"/>
      <c r="B38" s="283" t="s">
        <v>38</v>
      </c>
      <c r="C38" s="296">
        <v>-2031</v>
      </c>
      <c r="D38" s="296">
        <v>-315</v>
      </c>
      <c r="E38" s="296">
        <v>-20</v>
      </c>
      <c r="F38" s="296">
        <v>306</v>
      </c>
      <c r="G38" s="296">
        <v>-92</v>
      </c>
      <c r="H38" s="296">
        <v>-44</v>
      </c>
      <c r="I38" s="296">
        <v>-125</v>
      </c>
      <c r="J38" s="296">
        <v>-6</v>
      </c>
      <c r="K38" s="296">
        <v>809</v>
      </c>
      <c r="L38" s="296">
        <v>133</v>
      </c>
      <c r="M38" s="296">
        <v>174</v>
      </c>
      <c r="N38" s="296">
        <v>402</v>
      </c>
      <c r="O38" s="296">
        <v>136</v>
      </c>
      <c r="P38" s="296">
        <v>259</v>
      </c>
      <c r="Q38" s="296">
        <v>198</v>
      </c>
      <c r="R38" s="296">
        <v>240</v>
      </c>
      <c r="S38" s="296">
        <v>-24</v>
      </c>
      <c r="T38" s="302" t="s">
        <v>38</v>
      </c>
      <c r="U38" s="484"/>
    </row>
    <row r="39" spans="1:21" s="36" customFormat="1" ht="11.85" customHeight="1">
      <c r="A39" s="510"/>
      <c r="B39" s="283" t="s">
        <v>39</v>
      </c>
      <c r="C39" s="296">
        <v>-1258</v>
      </c>
      <c r="D39" s="296">
        <v>-89</v>
      </c>
      <c r="E39" s="296">
        <v>2</v>
      </c>
      <c r="F39" s="296">
        <v>277</v>
      </c>
      <c r="G39" s="296">
        <v>39</v>
      </c>
      <c r="H39" s="296">
        <v>55</v>
      </c>
      <c r="I39" s="296">
        <v>13</v>
      </c>
      <c r="J39" s="296">
        <v>1</v>
      </c>
      <c r="K39" s="296">
        <v>780</v>
      </c>
      <c r="L39" s="296">
        <v>14</v>
      </c>
      <c r="M39" s="296">
        <v>47</v>
      </c>
      <c r="N39" s="296">
        <v>140</v>
      </c>
      <c r="O39" s="296">
        <v>53</v>
      </c>
      <c r="P39" s="296">
        <v>-15</v>
      </c>
      <c r="Q39" s="296">
        <v>-38</v>
      </c>
      <c r="R39" s="296">
        <v>35</v>
      </c>
      <c r="S39" s="296">
        <v>-56</v>
      </c>
      <c r="T39" s="302" t="s">
        <v>39</v>
      </c>
      <c r="U39" s="484"/>
    </row>
    <row r="40" spans="1:21" s="36" customFormat="1" ht="19.5" customHeight="1">
      <c r="A40" s="510"/>
      <c r="B40" s="283" t="s">
        <v>165</v>
      </c>
      <c r="C40" s="296">
        <v>-1294</v>
      </c>
      <c r="D40" s="296">
        <v>-104</v>
      </c>
      <c r="E40" s="296">
        <v>49</v>
      </c>
      <c r="F40" s="296">
        <v>406</v>
      </c>
      <c r="G40" s="296">
        <v>96</v>
      </c>
      <c r="H40" s="296">
        <v>42</v>
      </c>
      <c r="I40" s="296">
        <v>86</v>
      </c>
      <c r="J40" s="296">
        <v>2</v>
      </c>
      <c r="K40" s="296">
        <v>1391</v>
      </c>
      <c r="L40" s="296">
        <v>-54</v>
      </c>
      <c r="M40" s="296">
        <v>-13</v>
      </c>
      <c r="N40" s="296">
        <v>-89</v>
      </c>
      <c r="O40" s="296">
        <v>-90</v>
      </c>
      <c r="P40" s="296">
        <v>-235</v>
      </c>
      <c r="Q40" s="296">
        <v>-152</v>
      </c>
      <c r="R40" s="296">
        <v>-31</v>
      </c>
      <c r="S40" s="296">
        <v>-10</v>
      </c>
      <c r="T40" s="283" t="s">
        <v>165</v>
      </c>
      <c r="U40" s="484"/>
    </row>
    <row r="41" spans="1:21" s="276" customFormat="1" ht="19.5" customHeight="1">
      <c r="A41" s="509" t="s">
        <v>45</v>
      </c>
      <c r="B41" s="293" t="s">
        <v>48</v>
      </c>
      <c r="C41" s="304">
        <v>-8692</v>
      </c>
      <c r="D41" s="304">
        <v>-5283</v>
      </c>
      <c r="E41" s="304">
        <v>-961</v>
      </c>
      <c r="F41" s="304">
        <v>15854</v>
      </c>
      <c r="G41" s="304">
        <v>-6864</v>
      </c>
      <c r="H41" s="304">
        <v>1226</v>
      </c>
      <c r="I41" s="304">
        <v>-4147</v>
      </c>
      <c r="J41" s="304">
        <v>-97</v>
      </c>
      <c r="K41" s="304">
        <v>18203</v>
      </c>
      <c r="L41" s="304">
        <v>-1278</v>
      </c>
      <c r="M41" s="304">
        <v>4073</v>
      </c>
      <c r="N41" s="304">
        <v>2828</v>
      </c>
      <c r="O41" s="304">
        <v>-2075</v>
      </c>
      <c r="P41" s="304">
        <v>-448</v>
      </c>
      <c r="Q41" s="304">
        <v>-5233</v>
      </c>
      <c r="R41" s="304">
        <v>-5111</v>
      </c>
      <c r="S41" s="304">
        <v>-1995</v>
      </c>
      <c r="T41" s="305" t="s">
        <v>48</v>
      </c>
      <c r="U41" s="504" t="s">
        <v>45</v>
      </c>
    </row>
    <row r="42" spans="1:21" s="36" customFormat="1" ht="11.85" customHeight="1">
      <c r="A42" s="510"/>
      <c r="B42" s="303" t="s">
        <v>23</v>
      </c>
      <c r="C42" s="296">
        <v>-2407</v>
      </c>
      <c r="D42" s="296">
        <v>136</v>
      </c>
      <c r="E42" s="296">
        <v>479</v>
      </c>
      <c r="F42" s="296">
        <v>1188</v>
      </c>
      <c r="G42" s="296">
        <v>54</v>
      </c>
      <c r="H42" s="296">
        <v>9</v>
      </c>
      <c r="I42" s="296">
        <v>-73</v>
      </c>
      <c r="J42" s="296">
        <v>42</v>
      </c>
      <c r="K42" s="296">
        <v>1037</v>
      </c>
      <c r="L42" s="296">
        <v>-147</v>
      </c>
      <c r="M42" s="296">
        <v>164</v>
      </c>
      <c r="N42" s="296">
        <v>53</v>
      </c>
      <c r="O42" s="296">
        <v>20</v>
      </c>
      <c r="P42" s="296">
        <v>-128</v>
      </c>
      <c r="Q42" s="296">
        <v>-422</v>
      </c>
      <c r="R42" s="296">
        <v>-14</v>
      </c>
      <c r="S42" s="296">
        <v>9</v>
      </c>
      <c r="T42" s="302" t="s">
        <v>23</v>
      </c>
      <c r="U42" s="484"/>
    </row>
    <row r="43" spans="1:21" s="36" customFormat="1" ht="11.85" customHeight="1">
      <c r="A43" s="510"/>
      <c r="B43" s="303" t="s">
        <v>24</v>
      </c>
      <c r="C43" s="296">
        <v>255</v>
      </c>
      <c r="D43" s="296">
        <v>73</v>
      </c>
      <c r="E43" s="296">
        <v>331</v>
      </c>
      <c r="F43" s="296">
        <v>638</v>
      </c>
      <c r="G43" s="296">
        <v>-34</v>
      </c>
      <c r="H43" s="296">
        <v>78</v>
      </c>
      <c r="I43" s="296">
        <v>-166</v>
      </c>
      <c r="J43" s="296">
        <v>24</v>
      </c>
      <c r="K43" s="296">
        <v>-681</v>
      </c>
      <c r="L43" s="296">
        <v>-20</v>
      </c>
      <c r="M43" s="296">
        <v>66</v>
      </c>
      <c r="N43" s="296">
        <v>61</v>
      </c>
      <c r="O43" s="296">
        <v>-8</v>
      </c>
      <c r="P43" s="296">
        <v>-110</v>
      </c>
      <c r="Q43" s="296">
        <v>-343</v>
      </c>
      <c r="R43" s="296">
        <v>-189</v>
      </c>
      <c r="S43" s="296">
        <v>25</v>
      </c>
      <c r="T43" s="302" t="s">
        <v>24</v>
      </c>
      <c r="U43" s="484"/>
    </row>
    <row r="44" spans="1:21" s="36" customFormat="1" ht="11.85" customHeight="1">
      <c r="A44" s="510"/>
      <c r="B44" s="283" t="s">
        <v>25</v>
      </c>
      <c r="C44" s="296">
        <v>329</v>
      </c>
      <c r="D44" s="296">
        <v>-63</v>
      </c>
      <c r="E44" s="296">
        <v>172</v>
      </c>
      <c r="F44" s="296">
        <v>550</v>
      </c>
      <c r="G44" s="296">
        <v>-131</v>
      </c>
      <c r="H44" s="296">
        <v>112</v>
      </c>
      <c r="I44" s="296">
        <v>-121</v>
      </c>
      <c r="J44" s="296">
        <v>1</v>
      </c>
      <c r="K44" s="296">
        <v>-339</v>
      </c>
      <c r="L44" s="296">
        <v>-147</v>
      </c>
      <c r="M44" s="296">
        <v>1</v>
      </c>
      <c r="N44" s="296">
        <v>175</v>
      </c>
      <c r="O44" s="296">
        <v>36</v>
      </c>
      <c r="P44" s="296">
        <v>-48</v>
      </c>
      <c r="Q44" s="296">
        <v>-228</v>
      </c>
      <c r="R44" s="296">
        <v>-190</v>
      </c>
      <c r="S44" s="296">
        <v>-109</v>
      </c>
      <c r="T44" s="302" t="s">
        <v>25</v>
      </c>
      <c r="U44" s="484"/>
    </row>
    <row r="45" spans="1:21" s="36" customFormat="1" ht="11.85" customHeight="1">
      <c r="A45" s="510"/>
      <c r="B45" s="283" t="s">
        <v>26</v>
      </c>
      <c r="C45" s="296">
        <v>6185</v>
      </c>
      <c r="D45" s="296">
        <v>749</v>
      </c>
      <c r="E45" s="296">
        <v>146</v>
      </c>
      <c r="F45" s="296">
        <v>316</v>
      </c>
      <c r="G45" s="296">
        <v>-339</v>
      </c>
      <c r="H45" s="296">
        <v>928</v>
      </c>
      <c r="I45" s="296">
        <v>-898</v>
      </c>
      <c r="J45" s="296">
        <v>-342</v>
      </c>
      <c r="K45" s="296">
        <v>-1104</v>
      </c>
      <c r="L45" s="296">
        <v>-176</v>
      </c>
      <c r="M45" s="296">
        <v>-131</v>
      </c>
      <c r="N45" s="296">
        <v>-344</v>
      </c>
      <c r="O45" s="296">
        <v>-456</v>
      </c>
      <c r="P45" s="296">
        <v>-882</v>
      </c>
      <c r="Q45" s="296">
        <v>-864</v>
      </c>
      <c r="R45" s="296">
        <v>-2293</v>
      </c>
      <c r="S45" s="296">
        <v>-495</v>
      </c>
      <c r="T45" s="302" t="s">
        <v>26</v>
      </c>
      <c r="U45" s="484"/>
    </row>
    <row r="46" spans="1:21" s="36" customFormat="1" ht="11.85" customHeight="1">
      <c r="A46" s="510"/>
      <c r="B46" s="283" t="s">
        <v>27</v>
      </c>
      <c r="C46" s="296">
        <v>16643</v>
      </c>
      <c r="D46" s="296">
        <v>100</v>
      </c>
      <c r="E46" s="296">
        <v>-781</v>
      </c>
      <c r="F46" s="296">
        <v>1001</v>
      </c>
      <c r="G46" s="296">
        <v>-1200</v>
      </c>
      <c r="H46" s="296">
        <v>502</v>
      </c>
      <c r="I46" s="296">
        <v>-987</v>
      </c>
      <c r="J46" s="296">
        <v>-248</v>
      </c>
      <c r="K46" s="296">
        <v>655</v>
      </c>
      <c r="L46" s="296">
        <v>-1722</v>
      </c>
      <c r="M46" s="296">
        <v>-709</v>
      </c>
      <c r="N46" s="296">
        <v>-1676</v>
      </c>
      <c r="O46" s="296">
        <v>-1622</v>
      </c>
      <c r="P46" s="296">
        <v>-2067</v>
      </c>
      <c r="Q46" s="296">
        <v>-3341</v>
      </c>
      <c r="R46" s="296">
        <v>-3873</v>
      </c>
      <c r="S46" s="296">
        <v>-675</v>
      </c>
      <c r="T46" s="302" t="s">
        <v>27</v>
      </c>
      <c r="U46" s="484"/>
    </row>
    <row r="47" spans="1:21" s="36" customFormat="1" ht="11.85" customHeight="1">
      <c r="A47" s="510"/>
      <c r="B47" s="283" t="s">
        <v>28</v>
      </c>
      <c r="C47" s="296">
        <v>4178</v>
      </c>
      <c r="D47" s="296">
        <v>-2198</v>
      </c>
      <c r="E47" s="296">
        <v>-1260</v>
      </c>
      <c r="F47" s="296">
        <v>1342</v>
      </c>
      <c r="G47" s="296">
        <v>-1384</v>
      </c>
      <c r="H47" s="296">
        <v>-22</v>
      </c>
      <c r="I47" s="296">
        <v>-198</v>
      </c>
      <c r="J47" s="296">
        <v>454</v>
      </c>
      <c r="K47" s="296">
        <v>1486</v>
      </c>
      <c r="L47" s="296">
        <v>-348</v>
      </c>
      <c r="M47" s="296">
        <v>306</v>
      </c>
      <c r="N47" s="296">
        <v>436</v>
      </c>
      <c r="O47" s="296">
        <v>-940</v>
      </c>
      <c r="P47" s="296">
        <v>-343</v>
      </c>
      <c r="Q47" s="296">
        <v>-930</v>
      </c>
      <c r="R47" s="296">
        <v>-368</v>
      </c>
      <c r="S47" s="296">
        <v>-211</v>
      </c>
      <c r="T47" s="302" t="s">
        <v>28</v>
      </c>
      <c r="U47" s="484"/>
    </row>
    <row r="48" spans="1:21" s="36" customFormat="1" ht="11.85" customHeight="1">
      <c r="A48" s="510"/>
      <c r="B48" s="283" t="s">
        <v>29</v>
      </c>
      <c r="C48" s="296">
        <v>-6162</v>
      </c>
      <c r="D48" s="296">
        <v>-1211</v>
      </c>
      <c r="E48" s="296">
        <v>-115</v>
      </c>
      <c r="F48" s="296">
        <v>1661</v>
      </c>
      <c r="G48" s="296">
        <v>-979</v>
      </c>
      <c r="H48" s="296">
        <v>173</v>
      </c>
      <c r="I48" s="296">
        <v>-2</v>
      </c>
      <c r="J48" s="296">
        <v>320</v>
      </c>
      <c r="K48" s="296">
        <v>5347</v>
      </c>
      <c r="L48" s="296">
        <v>42</v>
      </c>
      <c r="M48" s="296">
        <v>476</v>
      </c>
      <c r="N48" s="296">
        <v>441</v>
      </c>
      <c r="O48" s="296">
        <v>-166</v>
      </c>
      <c r="P48" s="296">
        <v>388</v>
      </c>
      <c r="Q48" s="296">
        <v>-332</v>
      </c>
      <c r="R48" s="296">
        <v>134</v>
      </c>
      <c r="S48" s="296">
        <v>-15</v>
      </c>
      <c r="T48" s="302" t="s">
        <v>29</v>
      </c>
      <c r="U48" s="484"/>
    </row>
    <row r="49" spans="1:21" s="36" customFormat="1" ht="11.85" customHeight="1">
      <c r="A49" s="510"/>
      <c r="B49" s="283" t="s">
        <v>30</v>
      </c>
      <c r="C49" s="296">
        <v>-3624</v>
      </c>
      <c r="D49" s="296">
        <v>-228</v>
      </c>
      <c r="E49" s="296">
        <v>413</v>
      </c>
      <c r="F49" s="296">
        <v>1699</v>
      </c>
      <c r="G49" s="296">
        <v>-469</v>
      </c>
      <c r="H49" s="296">
        <v>-85</v>
      </c>
      <c r="I49" s="296">
        <v>-190</v>
      </c>
      <c r="J49" s="296">
        <v>64</v>
      </c>
      <c r="K49" s="296">
        <v>1940</v>
      </c>
      <c r="L49" s="296">
        <v>-87</v>
      </c>
      <c r="M49" s="296">
        <v>417</v>
      </c>
      <c r="N49" s="296">
        <v>320</v>
      </c>
      <c r="O49" s="296">
        <v>-12</v>
      </c>
      <c r="P49" s="296">
        <v>175</v>
      </c>
      <c r="Q49" s="296">
        <v>-354</v>
      </c>
      <c r="R49" s="296">
        <v>46</v>
      </c>
      <c r="S49" s="296">
        <v>-25</v>
      </c>
      <c r="T49" s="302" t="s">
        <v>30</v>
      </c>
      <c r="U49" s="484"/>
    </row>
    <row r="50" spans="1:21" s="36" customFormat="1" ht="11.85" customHeight="1">
      <c r="A50" s="510"/>
      <c r="B50" s="283" t="s">
        <v>31</v>
      </c>
      <c r="C50" s="296">
        <v>-1677</v>
      </c>
      <c r="D50" s="296">
        <v>-92</v>
      </c>
      <c r="E50" s="296">
        <v>316</v>
      </c>
      <c r="F50" s="296">
        <v>1228</v>
      </c>
      <c r="G50" s="296">
        <v>-271</v>
      </c>
      <c r="H50" s="296">
        <v>174</v>
      </c>
      <c r="I50" s="296">
        <v>-198</v>
      </c>
      <c r="J50" s="296">
        <v>-31</v>
      </c>
      <c r="K50" s="296">
        <v>-178</v>
      </c>
      <c r="L50" s="296">
        <v>35</v>
      </c>
      <c r="M50" s="296">
        <v>309</v>
      </c>
      <c r="N50" s="296">
        <v>317</v>
      </c>
      <c r="O50" s="296">
        <v>141</v>
      </c>
      <c r="P50" s="296">
        <v>243</v>
      </c>
      <c r="Q50" s="296">
        <v>-189</v>
      </c>
      <c r="R50" s="296">
        <v>-116</v>
      </c>
      <c r="S50" s="296">
        <v>-11</v>
      </c>
      <c r="T50" s="302" t="s">
        <v>31</v>
      </c>
      <c r="U50" s="484"/>
    </row>
    <row r="51" spans="1:21" s="36" customFormat="1" ht="11.85" customHeight="1">
      <c r="A51" s="510"/>
      <c r="B51" s="283" t="s">
        <v>32</v>
      </c>
      <c r="C51" s="296">
        <v>-1890</v>
      </c>
      <c r="D51" s="296">
        <v>-329</v>
      </c>
      <c r="E51" s="296">
        <v>135</v>
      </c>
      <c r="F51" s="296">
        <v>968</v>
      </c>
      <c r="G51" s="296">
        <v>-361</v>
      </c>
      <c r="H51" s="296">
        <v>48</v>
      </c>
      <c r="I51" s="296">
        <v>-196</v>
      </c>
      <c r="J51" s="296">
        <v>-133</v>
      </c>
      <c r="K51" s="296">
        <v>480</v>
      </c>
      <c r="L51" s="296">
        <v>77</v>
      </c>
      <c r="M51" s="296">
        <v>453</v>
      </c>
      <c r="N51" s="296">
        <v>288</v>
      </c>
      <c r="O51" s="296">
        <v>110</v>
      </c>
      <c r="P51" s="296">
        <v>360</v>
      </c>
      <c r="Q51" s="296">
        <v>18</v>
      </c>
      <c r="R51" s="296">
        <v>91</v>
      </c>
      <c r="S51" s="296">
        <v>-119</v>
      </c>
      <c r="T51" s="302" t="s">
        <v>32</v>
      </c>
      <c r="U51" s="484"/>
    </row>
    <row r="52" spans="1:21" s="36" customFormat="1" ht="11.85" customHeight="1">
      <c r="A52" s="510"/>
      <c r="B52" s="283" t="s">
        <v>33</v>
      </c>
      <c r="C52" s="296">
        <v>-3239</v>
      </c>
      <c r="D52" s="296">
        <v>-274</v>
      </c>
      <c r="E52" s="296">
        <v>-182</v>
      </c>
      <c r="F52" s="296">
        <v>1010</v>
      </c>
      <c r="G52" s="296">
        <v>-549</v>
      </c>
      <c r="H52" s="296">
        <v>-263</v>
      </c>
      <c r="I52" s="296">
        <v>-292</v>
      </c>
      <c r="J52" s="296">
        <v>-91</v>
      </c>
      <c r="K52" s="296">
        <v>837</v>
      </c>
      <c r="L52" s="296">
        <v>321</v>
      </c>
      <c r="M52" s="296">
        <v>644</v>
      </c>
      <c r="N52" s="296">
        <v>533</v>
      </c>
      <c r="O52" s="296">
        <v>246</v>
      </c>
      <c r="P52" s="296">
        <v>737</v>
      </c>
      <c r="Q52" s="296">
        <v>368</v>
      </c>
      <c r="R52" s="296">
        <v>225</v>
      </c>
      <c r="S52" s="296">
        <v>-31</v>
      </c>
      <c r="T52" s="302" t="s">
        <v>33</v>
      </c>
      <c r="U52" s="484"/>
    </row>
    <row r="53" spans="1:21" s="36" customFormat="1" ht="11.85" customHeight="1">
      <c r="A53" s="510"/>
      <c r="B53" s="283" t="s">
        <v>34</v>
      </c>
      <c r="C53" s="296">
        <v>-4039</v>
      </c>
      <c r="D53" s="296">
        <v>-557</v>
      </c>
      <c r="E53" s="296">
        <v>-255</v>
      </c>
      <c r="F53" s="296">
        <v>863</v>
      </c>
      <c r="G53" s="296">
        <v>-582</v>
      </c>
      <c r="H53" s="296">
        <v>-309</v>
      </c>
      <c r="I53" s="296">
        <v>-354</v>
      </c>
      <c r="J53" s="296">
        <v>-68</v>
      </c>
      <c r="K53" s="296">
        <v>1213</v>
      </c>
      <c r="L53" s="296">
        <v>475</v>
      </c>
      <c r="M53" s="296">
        <v>757</v>
      </c>
      <c r="N53" s="296">
        <v>770</v>
      </c>
      <c r="O53" s="296">
        <v>324</v>
      </c>
      <c r="P53" s="296">
        <v>886</v>
      </c>
      <c r="Q53" s="296">
        <v>499</v>
      </c>
      <c r="R53" s="296">
        <v>466</v>
      </c>
      <c r="S53" s="296">
        <v>-89</v>
      </c>
      <c r="T53" s="302" t="s">
        <v>34</v>
      </c>
      <c r="U53" s="484"/>
    </row>
    <row r="54" spans="1:21" s="36" customFormat="1" ht="11.85" customHeight="1">
      <c r="A54" s="510"/>
      <c r="B54" s="283" t="s">
        <v>35</v>
      </c>
      <c r="C54" s="296">
        <v>-3791</v>
      </c>
      <c r="D54" s="296">
        <v>-491</v>
      </c>
      <c r="E54" s="296">
        <v>-274</v>
      </c>
      <c r="F54" s="296">
        <v>657</v>
      </c>
      <c r="G54" s="296">
        <v>-509</v>
      </c>
      <c r="H54" s="296">
        <v>-209</v>
      </c>
      <c r="I54" s="296">
        <v>-442</v>
      </c>
      <c r="J54" s="296">
        <v>16</v>
      </c>
      <c r="K54" s="296">
        <v>1103</v>
      </c>
      <c r="L54" s="296">
        <v>418</v>
      </c>
      <c r="M54" s="296">
        <v>665</v>
      </c>
      <c r="N54" s="296">
        <v>831</v>
      </c>
      <c r="O54" s="296">
        <v>334</v>
      </c>
      <c r="P54" s="296">
        <v>696</v>
      </c>
      <c r="Q54" s="296">
        <v>705</v>
      </c>
      <c r="R54" s="296">
        <v>353</v>
      </c>
      <c r="S54" s="296">
        <v>-62</v>
      </c>
      <c r="T54" s="302" t="s">
        <v>35</v>
      </c>
      <c r="U54" s="484"/>
    </row>
    <row r="55" spans="1:21" s="36" customFormat="1" ht="11.85" customHeight="1">
      <c r="A55" s="510"/>
      <c r="B55" s="283" t="s">
        <v>37</v>
      </c>
      <c r="C55" s="296">
        <v>-3067</v>
      </c>
      <c r="D55" s="296">
        <v>-366</v>
      </c>
      <c r="E55" s="296">
        <v>-141</v>
      </c>
      <c r="F55" s="296">
        <v>730</v>
      </c>
      <c r="G55" s="296">
        <v>-243</v>
      </c>
      <c r="H55" s="296">
        <v>-109</v>
      </c>
      <c r="I55" s="296">
        <v>-187</v>
      </c>
      <c r="J55" s="296">
        <v>-59</v>
      </c>
      <c r="K55" s="296">
        <v>1201</v>
      </c>
      <c r="L55" s="296">
        <v>282</v>
      </c>
      <c r="M55" s="296">
        <v>356</v>
      </c>
      <c r="N55" s="296">
        <v>473</v>
      </c>
      <c r="O55" s="296">
        <v>143</v>
      </c>
      <c r="P55" s="296">
        <v>406</v>
      </c>
      <c r="Q55" s="296">
        <v>327</v>
      </c>
      <c r="R55" s="296">
        <v>292</v>
      </c>
      <c r="S55" s="296">
        <v>-38</v>
      </c>
      <c r="T55" s="302" t="s">
        <v>37</v>
      </c>
      <c r="U55" s="484"/>
    </row>
    <row r="56" spans="1:21" s="36" customFormat="1" ht="11.85" customHeight="1">
      <c r="A56" s="510"/>
      <c r="B56" s="283" t="s">
        <v>38</v>
      </c>
      <c r="C56" s="296">
        <v>-1921</v>
      </c>
      <c r="D56" s="296">
        <v>-143</v>
      </c>
      <c r="E56" s="296">
        <v>23</v>
      </c>
      <c r="F56" s="296">
        <v>472</v>
      </c>
      <c r="G56" s="296">
        <v>-72</v>
      </c>
      <c r="H56" s="296">
        <v>-29</v>
      </c>
      <c r="I56" s="296">
        <v>-23</v>
      </c>
      <c r="J56" s="296">
        <v>-8</v>
      </c>
      <c r="K56" s="296">
        <v>915</v>
      </c>
      <c r="L56" s="296">
        <v>-13</v>
      </c>
      <c r="M56" s="296">
        <v>140</v>
      </c>
      <c r="N56" s="296">
        <v>129</v>
      </c>
      <c r="O56" s="296">
        <v>102</v>
      </c>
      <c r="P56" s="296">
        <v>156</v>
      </c>
      <c r="Q56" s="296">
        <v>160</v>
      </c>
      <c r="R56" s="296">
        <v>167</v>
      </c>
      <c r="S56" s="296">
        <v>-55</v>
      </c>
      <c r="T56" s="302" t="s">
        <v>38</v>
      </c>
      <c r="U56" s="484"/>
    </row>
    <row r="57" spans="1:21" s="36" customFormat="1" ht="11.85" customHeight="1">
      <c r="A57" s="510"/>
      <c r="B57" s="283" t="s">
        <v>39</v>
      </c>
      <c r="C57" s="296">
        <v>-1428</v>
      </c>
      <c r="D57" s="296">
        <v>-180</v>
      </c>
      <c r="E57" s="296">
        <v>0</v>
      </c>
      <c r="F57" s="296">
        <v>457</v>
      </c>
      <c r="G57" s="296">
        <v>31</v>
      </c>
      <c r="H57" s="296">
        <v>52</v>
      </c>
      <c r="I57" s="296">
        <v>-8</v>
      </c>
      <c r="J57" s="296">
        <v>0</v>
      </c>
      <c r="K57" s="296">
        <v>1034</v>
      </c>
      <c r="L57" s="296">
        <v>-80</v>
      </c>
      <c r="M57" s="296">
        <v>57</v>
      </c>
      <c r="N57" s="296">
        <v>79</v>
      </c>
      <c r="O57" s="296">
        <v>-29</v>
      </c>
      <c r="P57" s="296">
        <v>-78</v>
      </c>
      <c r="Q57" s="296">
        <v>-24</v>
      </c>
      <c r="R57" s="296">
        <v>160</v>
      </c>
      <c r="S57" s="296">
        <v>-43</v>
      </c>
      <c r="T57" s="302" t="s">
        <v>39</v>
      </c>
      <c r="U57" s="484"/>
    </row>
    <row r="58" spans="1:21" s="36" customFormat="1" ht="11.85" customHeight="1">
      <c r="A58" s="510"/>
      <c r="B58" s="283" t="s">
        <v>165</v>
      </c>
      <c r="C58" s="296">
        <v>-3037</v>
      </c>
      <c r="D58" s="296">
        <v>-209</v>
      </c>
      <c r="E58" s="296">
        <v>32</v>
      </c>
      <c r="F58" s="296">
        <v>1074</v>
      </c>
      <c r="G58" s="296">
        <v>174</v>
      </c>
      <c r="H58" s="296">
        <v>176</v>
      </c>
      <c r="I58" s="296">
        <v>188</v>
      </c>
      <c r="J58" s="296">
        <v>-38</v>
      </c>
      <c r="K58" s="296">
        <v>3257</v>
      </c>
      <c r="L58" s="296">
        <v>-188</v>
      </c>
      <c r="M58" s="296">
        <v>102</v>
      </c>
      <c r="N58" s="296">
        <v>-58</v>
      </c>
      <c r="O58" s="296">
        <v>-298</v>
      </c>
      <c r="P58" s="296">
        <v>-839</v>
      </c>
      <c r="Q58" s="296">
        <v>-283</v>
      </c>
      <c r="R58" s="296">
        <v>-2</v>
      </c>
      <c r="S58" s="296">
        <v>-51</v>
      </c>
      <c r="T58" s="283" t="s">
        <v>165</v>
      </c>
      <c r="U58" s="484"/>
    </row>
    <row r="59" spans="1:21" ht="6.95" customHeight="1" thickBot="1">
      <c r="A59" s="511"/>
      <c r="B59" s="10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48"/>
      <c r="U59" s="505"/>
    </row>
  </sheetData>
  <mergeCells count="6">
    <mergeCell ref="U4:U22"/>
    <mergeCell ref="U23:U40"/>
    <mergeCell ref="U41:U59"/>
    <mergeCell ref="A4:A22"/>
    <mergeCell ref="A23:A40"/>
    <mergeCell ref="A41:A59"/>
  </mergeCells>
  <phoneticPr fontId="2" type="noConversion"/>
  <conditionalFormatting sqref="C5:S58">
    <cfRule type="cellIs" dxfId="5" priority="1" operator="between">
      <formula>-1</formula>
      <formula>-999</formula>
    </cfRule>
  </conditionalFormatting>
  <printOptions horizontalCentered="1"/>
  <pageMargins left="0.78740157480314965" right="0.78740157480314965" top="0.78740157480314965" bottom="0.47244094488188981" header="0.51181102362204722" footer="1.0629921259842521"/>
  <pageSetup paperSize="9" scale="95" firstPageNumber="24" orientation="portrait" horizontalDpi="1200" verticalDpi="1200" r:id="rId1"/>
  <headerFooter alignWithMargins="0"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V59"/>
  <sheetViews>
    <sheetView showGridLines="0" view="pageBreakPreview" zoomScaleNormal="100" zoomScaleSheetLayoutView="100" workbookViewId="0">
      <pane ySplit="3" topLeftCell="A4" activePane="bottomLeft" state="frozen"/>
      <selection activeCell="S12" sqref="S12"/>
      <selection pane="bottomLeft" activeCell="A4" sqref="A4:A22"/>
    </sheetView>
  </sheetViews>
  <sheetFormatPr defaultRowHeight="13.5"/>
  <cols>
    <col min="1" max="1" width="4.625" customWidth="1"/>
    <col min="2" max="2" width="9.125" style="1" customWidth="1"/>
    <col min="3" max="4" width="10.625" customWidth="1"/>
    <col min="5" max="11" width="8.125" customWidth="1"/>
    <col min="12" max="12" width="10.625" customWidth="1"/>
    <col min="13" max="20" width="8.375" customWidth="1"/>
    <col min="21" max="21" width="9.125" style="1" customWidth="1"/>
    <col min="22" max="22" width="4.625" customWidth="1"/>
  </cols>
  <sheetData>
    <row r="1" spans="1:22" s="2" customFormat="1" ht="18.75">
      <c r="A1" s="92" t="str">
        <f>"6. 시도 전입·전출지 및 성별 이동자 수, "&amp;표지!G5</f>
        <v>6. 시도 전입·전출지 및 성별 이동자 수, 2025</v>
      </c>
      <c r="C1" s="67"/>
      <c r="D1" s="67"/>
      <c r="E1" s="67"/>
      <c r="F1" s="67"/>
      <c r="G1" s="67"/>
      <c r="H1" s="67"/>
      <c r="I1" s="67"/>
      <c r="J1" s="67"/>
      <c r="K1" s="67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67"/>
    </row>
    <row r="2" spans="1:22" s="4" customFormat="1" ht="15" customHeight="1" thickBot="1">
      <c r="B2" s="5"/>
      <c r="J2" s="16"/>
      <c r="K2" s="16"/>
      <c r="V2" s="16" t="s">
        <v>36</v>
      </c>
    </row>
    <row r="3" spans="1:22" s="212" customFormat="1" ht="25.5" customHeight="1">
      <c r="A3" s="207" t="s">
        <v>139</v>
      </c>
      <c r="B3" s="208" t="s">
        <v>162</v>
      </c>
      <c r="C3" s="207" t="s">
        <v>140</v>
      </c>
      <c r="D3" s="209" t="s">
        <v>6</v>
      </c>
      <c r="E3" s="209" t="s">
        <v>7</v>
      </c>
      <c r="F3" s="209" t="s">
        <v>8</v>
      </c>
      <c r="G3" s="209" t="s">
        <v>9</v>
      </c>
      <c r="H3" s="209" t="s">
        <v>10</v>
      </c>
      <c r="I3" s="209" t="s">
        <v>11</v>
      </c>
      <c r="J3" s="210" t="s">
        <v>12</v>
      </c>
      <c r="K3" s="210" t="s">
        <v>141</v>
      </c>
      <c r="L3" s="207" t="s">
        <v>13</v>
      </c>
      <c r="M3" s="207" t="s">
        <v>14</v>
      </c>
      <c r="N3" s="209" t="s">
        <v>15</v>
      </c>
      <c r="O3" s="209" t="s">
        <v>16</v>
      </c>
      <c r="P3" s="209" t="s">
        <v>17</v>
      </c>
      <c r="Q3" s="209" t="s">
        <v>18</v>
      </c>
      <c r="R3" s="209" t="s">
        <v>19</v>
      </c>
      <c r="S3" s="209" t="s">
        <v>20</v>
      </c>
      <c r="T3" s="210" t="s">
        <v>21</v>
      </c>
      <c r="U3" s="211" t="s">
        <v>161</v>
      </c>
      <c r="V3" s="210" t="s">
        <v>139</v>
      </c>
    </row>
    <row r="4" spans="1:22" s="212" customFormat="1" ht="7.5" customHeight="1">
      <c r="A4" s="517" t="s">
        <v>142</v>
      </c>
      <c r="B4" s="213"/>
      <c r="C4" s="214"/>
      <c r="D4" s="214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6"/>
      <c r="V4" s="512" t="s">
        <v>142</v>
      </c>
    </row>
    <row r="5" spans="1:22" s="309" customFormat="1" ht="11.85" customHeight="1">
      <c r="A5" s="517"/>
      <c r="B5" s="306" t="s">
        <v>5</v>
      </c>
      <c r="C5" s="307">
        <v>6117784</v>
      </c>
      <c r="D5" s="307">
        <v>1271697</v>
      </c>
      <c r="E5" s="307">
        <v>374597</v>
      </c>
      <c r="F5" s="307">
        <v>272740</v>
      </c>
      <c r="G5" s="307">
        <v>363261</v>
      </c>
      <c r="H5" s="307">
        <v>176551</v>
      </c>
      <c r="I5" s="307">
        <v>204548</v>
      </c>
      <c r="J5" s="307">
        <v>119679</v>
      </c>
      <c r="K5" s="307">
        <v>54402</v>
      </c>
      <c r="L5" s="307">
        <v>1595903</v>
      </c>
      <c r="M5" s="307">
        <v>184212</v>
      </c>
      <c r="N5" s="307">
        <v>188412</v>
      </c>
      <c r="O5" s="307">
        <v>243591</v>
      </c>
      <c r="P5" s="307">
        <v>198670</v>
      </c>
      <c r="Q5" s="307">
        <v>184414</v>
      </c>
      <c r="R5" s="307">
        <v>269134</v>
      </c>
      <c r="S5" s="307">
        <v>334112</v>
      </c>
      <c r="T5" s="307">
        <v>81861</v>
      </c>
      <c r="U5" s="308" t="s">
        <v>5</v>
      </c>
      <c r="V5" s="512"/>
    </row>
    <row r="6" spans="1:22" s="309" customFormat="1" ht="11.85" customHeight="1">
      <c r="A6" s="517"/>
      <c r="B6" s="306" t="s">
        <v>6</v>
      </c>
      <c r="C6" s="307">
        <v>1244928</v>
      </c>
      <c r="D6" s="307">
        <v>806601</v>
      </c>
      <c r="E6" s="307">
        <v>18155</v>
      </c>
      <c r="F6" s="307">
        <v>13526</v>
      </c>
      <c r="G6" s="307">
        <v>34098</v>
      </c>
      <c r="H6" s="307">
        <v>9813</v>
      </c>
      <c r="I6" s="307">
        <v>12755</v>
      </c>
      <c r="J6" s="307">
        <v>5523</v>
      </c>
      <c r="K6" s="307">
        <v>5009</v>
      </c>
      <c r="L6" s="307">
        <v>235668</v>
      </c>
      <c r="M6" s="307">
        <v>16526</v>
      </c>
      <c r="N6" s="307">
        <v>11988</v>
      </c>
      <c r="O6" s="307">
        <v>17720</v>
      </c>
      <c r="P6" s="307">
        <v>11343</v>
      </c>
      <c r="Q6" s="307">
        <v>9543</v>
      </c>
      <c r="R6" s="307">
        <v>13522</v>
      </c>
      <c r="S6" s="307">
        <v>14979</v>
      </c>
      <c r="T6" s="307">
        <v>8159</v>
      </c>
      <c r="U6" s="308" t="s">
        <v>6</v>
      </c>
      <c r="V6" s="512"/>
    </row>
    <row r="7" spans="1:22" s="309" customFormat="1" ht="11.85" customHeight="1">
      <c r="A7" s="517"/>
      <c r="B7" s="310" t="s">
        <v>7</v>
      </c>
      <c r="C7" s="311">
        <v>362416</v>
      </c>
      <c r="D7" s="311">
        <v>12662</v>
      </c>
      <c r="E7" s="311">
        <v>256178</v>
      </c>
      <c r="F7" s="311">
        <v>5082</v>
      </c>
      <c r="G7" s="311">
        <v>2209</v>
      </c>
      <c r="H7" s="311">
        <v>1221</v>
      </c>
      <c r="I7" s="311">
        <v>1817</v>
      </c>
      <c r="J7" s="311">
        <v>9501</v>
      </c>
      <c r="K7" s="311">
        <v>1085</v>
      </c>
      <c r="L7" s="311">
        <v>11809</v>
      </c>
      <c r="M7" s="311">
        <v>1762</v>
      </c>
      <c r="N7" s="311">
        <v>1574</v>
      </c>
      <c r="O7" s="311">
        <v>2161</v>
      </c>
      <c r="P7" s="311">
        <v>1260</v>
      </c>
      <c r="Q7" s="311">
        <v>2711</v>
      </c>
      <c r="R7" s="311">
        <v>8193</v>
      </c>
      <c r="S7" s="311">
        <v>40742</v>
      </c>
      <c r="T7" s="307">
        <v>2449</v>
      </c>
      <c r="U7" s="312" t="s">
        <v>7</v>
      </c>
      <c r="V7" s="512"/>
    </row>
    <row r="8" spans="1:22" s="309" customFormat="1" ht="11.85" customHeight="1">
      <c r="A8" s="517"/>
      <c r="B8" s="310" t="s">
        <v>8</v>
      </c>
      <c r="C8" s="311">
        <v>268468</v>
      </c>
      <c r="D8" s="311">
        <v>8815</v>
      </c>
      <c r="E8" s="311">
        <v>5027</v>
      </c>
      <c r="F8" s="311">
        <v>183556</v>
      </c>
      <c r="G8" s="311">
        <v>1620</v>
      </c>
      <c r="H8" s="311">
        <v>646</v>
      </c>
      <c r="I8" s="311">
        <v>1776</v>
      </c>
      <c r="J8" s="311">
        <v>3143</v>
      </c>
      <c r="K8" s="311">
        <v>587</v>
      </c>
      <c r="L8" s="311">
        <v>9192</v>
      </c>
      <c r="M8" s="311">
        <v>1544</v>
      </c>
      <c r="N8" s="311">
        <v>1708</v>
      </c>
      <c r="O8" s="311">
        <v>1961</v>
      </c>
      <c r="P8" s="311">
        <v>969</v>
      </c>
      <c r="Q8" s="311">
        <v>848</v>
      </c>
      <c r="R8" s="311">
        <v>37837</v>
      </c>
      <c r="S8" s="311">
        <v>8073</v>
      </c>
      <c r="T8" s="307">
        <v>1166</v>
      </c>
      <c r="U8" s="312" t="s">
        <v>8</v>
      </c>
      <c r="V8" s="512"/>
    </row>
    <row r="9" spans="1:22" s="309" customFormat="1" ht="11.85" customHeight="1">
      <c r="A9" s="517"/>
      <c r="B9" s="310" t="s">
        <v>9</v>
      </c>
      <c r="C9" s="311">
        <v>395525</v>
      </c>
      <c r="D9" s="311">
        <v>46570</v>
      </c>
      <c r="E9" s="311">
        <v>3283</v>
      </c>
      <c r="F9" s="311">
        <v>2296</v>
      </c>
      <c r="G9" s="311">
        <v>233291</v>
      </c>
      <c r="H9" s="311">
        <v>2037</v>
      </c>
      <c r="I9" s="311">
        <v>2628</v>
      </c>
      <c r="J9" s="311">
        <v>1158</v>
      </c>
      <c r="K9" s="311">
        <v>891</v>
      </c>
      <c r="L9" s="311">
        <v>73089</v>
      </c>
      <c r="M9" s="311">
        <v>4638</v>
      </c>
      <c r="N9" s="311">
        <v>3615</v>
      </c>
      <c r="O9" s="311">
        <v>6529</v>
      </c>
      <c r="P9" s="311">
        <v>3159</v>
      </c>
      <c r="Q9" s="311">
        <v>2955</v>
      </c>
      <c r="R9" s="311">
        <v>3784</v>
      </c>
      <c r="S9" s="311">
        <v>3415</v>
      </c>
      <c r="T9" s="307">
        <v>2187</v>
      </c>
      <c r="U9" s="312" t="s">
        <v>9</v>
      </c>
      <c r="V9" s="512"/>
    </row>
    <row r="10" spans="1:22" s="309" customFormat="1" ht="11.85" customHeight="1">
      <c r="A10" s="517"/>
      <c r="B10" s="310" t="s">
        <v>10</v>
      </c>
      <c r="C10" s="311">
        <v>162873</v>
      </c>
      <c r="D10" s="311">
        <v>6417</v>
      </c>
      <c r="E10" s="311">
        <v>1010</v>
      </c>
      <c r="F10" s="311">
        <v>586</v>
      </c>
      <c r="G10" s="311">
        <v>1443</v>
      </c>
      <c r="H10" s="311">
        <v>109146</v>
      </c>
      <c r="I10" s="311">
        <v>1145</v>
      </c>
      <c r="J10" s="311">
        <v>328</v>
      </c>
      <c r="K10" s="311">
        <v>444</v>
      </c>
      <c r="L10" s="311">
        <v>6806</v>
      </c>
      <c r="M10" s="311">
        <v>668</v>
      </c>
      <c r="N10" s="311">
        <v>702</v>
      </c>
      <c r="O10" s="311">
        <v>1375</v>
      </c>
      <c r="P10" s="311">
        <v>5196</v>
      </c>
      <c r="Q10" s="311">
        <v>24714</v>
      </c>
      <c r="R10" s="311">
        <v>800</v>
      </c>
      <c r="S10" s="311">
        <v>1231</v>
      </c>
      <c r="T10" s="307">
        <v>862</v>
      </c>
      <c r="U10" s="312" t="s">
        <v>10</v>
      </c>
      <c r="V10" s="512"/>
    </row>
    <row r="11" spans="1:22" s="309" customFormat="1" ht="11.85" customHeight="1">
      <c r="A11" s="517"/>
      <c r="B11" s="310" t="s">
        <v>11</v>
      </c>
      <c r="C11" s="311">
        <v>207372</v>
      </c>
      <c r="D11" s="311">
        <v>11229</v>
      </c>
      <c r="E11" s="311">
        <v>2318</v>
      </c>
      <c r="F11" s="311">
        <v>2273</v>
      </c>
      <c r="G11" s="311">
        <v>2455</v>
      </c>
      <c r="H11" s="311">
        <v>1701</v>
      </c>
      <c r="I11" s="311">
        <v>127360</v>
      </c>
      <c r="J11" s="311">
        <v>903</v>
      </c>
      <c r="K11" s="311">
        <v>7201</v>
      </c>
      <c r="L11" s="311">
        <v>13987</v>
      </c>
      <c r="M11" s="311">
        <v>2319</v>
      </c>
      <c r="N11" s="311">
        <v>7903</v>
      </c>
      <c r="O11" s="311">
        <v>13961</v>
      </c>
      <c r="P11" s="311">
        <v>4531</v>
      </c>
      <c r="Q11" s="311">
        <v>1847</v>
      </c>
      <c r="R11" s="311">
        <v>3707</v>
      </c>
      <c r="S11" s="311">
        <v>2848</v>
      </c>
      <c r="T11" s="307">
        <v>829</v>
      </c>
      <c r="U11" s="312" t="s">
        <v>11</v>
      </c>
      <c r="V11" s="512"/>
    </row>
    <row r="12" spans="1:22" s="309" customFormat="1" ht="11.85" customHeight="1">
      <c r="A12" s="517"/>
      <c r="B12" s="310" t="s">
        <v>12</v>
      </c>
      <c r="C12" s="311">
        <v>114205</v>
      </c>
      <c r="D12" s="311">
        <v>4033</v>
      </c>
      <c r="E12" s="311">
        <v>8841</v>
      </c>
      <c r="F12" s="311">
        <v>3019</v>
      </c>
      <c r="G12" s="311">
        <v>960</v>
      </c>
      <c r="H12" s="311">
        <v>381</v>
      </c>
      <c r="I12" s="311">
        <v>758</v>
      </c>
      <c r="J12" s="311">
        <v>73146</v>
      </c>
      <c r="K12" s="311">
        <v>188</v>
      </c>
      <c r="L12" s="311">
        <v>4628</v>
      </c>
      <c r="M12" s="311">
        <v>707</v>
      </c>
      <c r="N12" s="311">
        <v>787</v>
      </c>
      <c r="O12" s="311">
        <v>1182</v>
      </c>
      <c r="P12" s="311">
        <v>573</v>
      </c>
      <c r="Q12" s="311">
        <v>1005</v>
      </c>
      <c r="R12" s="311">
        <v>6766</v>
      </c>
      <c r="S12" s="311">
        <v>6773</v>
      </c>
      <c r="T12" s="307">
        <v>458</v>
      </c>
      <c r="U12" s="312" t="s">
        <v>12</v>
      </c>
      <c r="V12" s="512"/>
    </row>
    <row r="13" spans="1:22" s="309" customFormat="1" ht="11.85" customHeight="1">
      <c r="A13" s="517"/>
      <c r="B13" s="310" t="s">
        <v>167</v>
      </c>
      <c r="C13" s="311">
        <v>54355</v>
      </c>
      <c r="D13" s="311">
        <v>4548</v>
      </c>
      <c r="E13" s="311">
        <v>820</v>
      </c>
      <c r="F13" s="311">
        <v>598</v>
      </c>
      <c r="G13" s="311">
        <v>947</v>
      </c>
      <c r="H13" s="311">
        <v>612</v>
      </c>
      <c r="I13" s="311">
        <v>7508</v>
      </c>
      <c r="J13" s="311">
        <v>296</v>
      </c>
      <c r="K13" s="311">
        <v>21007</v>
      </c>
      <c r="L13" s="311">
        <v>5306</v>
      </c>
      <c r="M13" s="311">
        <v>660</v>
      </c>
      <c r="N13" s="311">
        <v>3465</v>
      </c>
      <c r="O13" s="311">
        <v>4601</v>
      </c>
      <c r="P13" s="311">
        <v>1149</v>
      </c>
      <c r="Q13" s="311">
        <v>685</v>
      </c>
      <c r="R13" s="311">
        <v>944</v>
      </c>
      <c r="S13" s="311">
        <v>829</v>
      </c>
      <c r="T13" s="307">
        <v>380</v>
      </c>
      <c r="U13" s="312" t="s">
        <v>12</v>
      </c>
      <c r="V13" s="512"/>
    </row>
    <row r="14" spans="1:22" s="309" customFormat="1" ht="11.85" customHeight="1">
      <c r="A14" s="517"/>
      <c r="B14" s="310" t="s">
        <v>13</v>
      </c>
      <c r="C14" s="311">
        <v>1628873</v>
      </c>
      <c r="D14" s="311">
        <v>276867</v>
      </c>
      <c r="E14" s="311">
        <v>15050</v>
      </c>
      <c r="F14" s="311">
        <v>12041</v>
      </c>
      <c r="G14" s="311">
        <v>57580</v>
      </c>
      <c r="H14" s="311">
        <v>9116</v>
      </c>
      <c r="I14" s="311">
        <v>14290</v>
      </c>
      <c r="J14" s="311">
        <v>5912</v>
      </c>
      <c r="K14" s="311">
        <v>5176</v>
      </c>
      <c r="L14" s="311">
        <v>1087061</v>
      </c>
      <c r="M14" s="311">
        <v>26138</v>
      </c>
      <c r="N14" s="311">
        <v>19532</v>
      </c>
      <c r="O14" s="311">
        <v>33030</v>
      </c>
      <c r="P14" s="311">
        <v>14203</v>
      </c>
      <c r="Q14" s="311">
        <v>11644</v>
      </c>
      <c r="R14" s="311">
        <v>17663</v>
      </c>
      <c r="S14" s="311">
        <v>15641</v>
      </c>
      <c r="T14" s="307">
        <v>7929</v>
      </c>
      <c r="U14" s="312" t="s">
        <v>13</v>
      </c>
      <c r="V14" s="512"/>
    </row>
    <row r="15" spans="1:22" s="309" customFormat="1" ht="11.85" customHeight="1">
      <c r="A15" s="517"/>
      <c r="B15" s="310" t="s">
        <v>14</v>
      </c>
      <c r="C15" s="311">
        <v>182825</v>
      </c>
      <c r="D15" s="311">
        <v>16405</v>
      </c>
      <c r="E15" s="311">
        <v>1729</v>
      </c>
      <c r="F15" s="311">
        <v>1618</v>
      </c>
      <c r="G15" s="311">
        <v>4206</v>
      </c>
      <c r="H15" s="311">
        <v>744</v>
      </c>
      <c r="I15" s="311">
        <v>1907</v>
      </c>
      <c r="J15" s="311">
        <v>768</v>
      </c>
      <c r="K15" s="311">
        <v>576</v>
      </c>
      <c r="L15" s="311">
        <v>26293</v>
      </c>
      <c r="M15" s="311">
        <v>113670</v>
      </c>
      <c r="N15" s="311">
        <v>3749</v>
      </c>
      <c r="O15" s="311">
        <v>2727</v>
      </c>
      <c r="P15" s="311">
        <v>1142</v>
      </c>
      <c r="Q15" s="311">
        <v>1142</v>
      </c>
      <c r="R15" s="311">
        <v>3248</v>
      </c>
      <c r="S15" s="311">
        <v>2097</v>
      </c>
      <c r="T15" s="307">
        <v>804</v>
      </c>
      <c r="U15" s="312" t="s">
        <v>14</v>
      </c>
      <c r="V15" s="512"/>
    </row>
    <row r="16" spans="1:22" s="309" customFormat="1" ht="11.85" customHeight="1">
      <c r="A16" s="517"/>
      <c r="B16" s="310" t="s">
        <v>15</v>
      </c>
      <c r="C16" s="311">
        <v>199201</v>
      </c>
      <c r="D16" s="311">
        <v>12009</v>
      </c>
      <c r="E16" s="311">
        <v>2012</v>
      </c>
      <c r="F16" s="311">
        <v>2090</v>
      </c>
      <c r="G16" s="311">
        <v>3894</v>
      </c>
      <c r="H16" s="311">
        <v>1178</v>
      </c>
      <c r="I16" s="311">
        <v>8865</v>
      </c>
      <c r="J16" s="311">
        <v>1067</v>
      </c>
      <c r="K16" s="311">
        <v>4212</v>
      </c>
      <c r="L16" s="311">
        <v>23456</v>
      </c>
      <c r="M16" s="311">
        <v>4223</v>
      </c>
      <c r="N16" s="311">
        <v>117446</v>
      </c>
      <c r="O16" s="311">
        <v>6836</v>
      </c>
      <c r="P16" s="311">
        <v>2417</v>
      </c>
      <c r="Q16" s="311">
        <v>1555</v>
      </c>
      <c r="R16" s="311">
        <v>4441</v>
      </c>
      <c r="S16" s="311">
        <v>2691</v>
      </c>
      <c r="T16" s="307">
        <v>809</v>
      </c>
      <c r="U16" s="312" t="s">
        <v>15</v>
      </c>
      <c r="V16" s="512"/>
    </row>
    <row r="17" spans="1:22" s="309" customFormat="1" ht="11.85" customHeight="1">
      <c r="A17" s="517"/>
      <c r="B17" s="310" t="s">
        <v>16</v>
      </c>
      <c r="C17" s="311">
        <v>251857</v>
      </c>
      <c r="D17" s="311">
        <v>17671</v>
      </c>
      <c r="E17" s="311">
        <v>2704</v>
      </c>
      <c r="F17" s="311">
        <v>2386</v>
      </c>
      <c r="G17" s="311">
        <v>7209</v>
      </c>
      <c r="H17" s="311">
        <v>2026</v>
      </c>
      <c r="I17" s="311">
        <v>13167</v>
      </c>
      <c r="J17" s="311">
        <v>1314</v>
      </c>
      <c r="K17" s="311">
        <v>4659</v>
      </c>
      <c r="L17" s="311">
        <v>36471</v>
      </c>
      <c r="M17" s="311">
        <v>3188</v>
      </c>
      <c r="N17" s="311">
        <v>6802</v>
      </c>
      <c r="O17" s="311">
        <v>136595</v>
      </c>
      <c r="P17" s="311">
        <v>5685</v>
      </c>
      <c r="Q17" s="311">
        <v>2983</v>
      </c>
      <c r="R17" s="311">
        <v>4124</v>
      </c>
      <c r="S17" s="311">
        <v>3626</v>
      </c>
      <c r="T17" s="307">
        <v>1247</v>
      </c>
      <c r="U17" s="312" t="s">
        <v>16</v>
      </c>
      <c r="V17" s="512"/>
    </row>
    <row r="18" spans="1:22" s="309" customFormat="1" ht="11.85" customHeight="1">
      <c r="A18" s="517"/>
      <c r="B18" s="310" t="s">
        <v>17</v>
      </c>
      <c r="C18" s="311">
        <v>195095</v>
      </c>
      <c r="D18" s="311">
        <v>9968</v>
      </c>
      <c r="E18" s="311">
        <v>1415</v>
      </c>
      <c r="F18" s="311">
        <v>885</v>
      </c>
      <c r="G18" s="311">
        <v>2661</v>
      </c>
      <c r="H18" s="311">
        <v>5765</v>
      </c>
      <c r="I18" s="311">
        <v>3543</v>
      </c>
      <c r="J18" s="311">
        <v>561</v>
      </c>
      <c r="K18" s="311">
        <v>1038</v>
      </c>
      <c r="L18" s="311">
        <v>13343</v>
      </c>
      <c r="M18" s="311">
        <v>1162</v>
      </c>
      <c r="N18" s="311">
        <v>1941</v>
      </c>
      <c r="O18" s="311">
        <v>5349</v>
      </c>
      <c r="P18" s="311">
        <v>138575</v>
      </c>
      <c r="Q18" s="311">
        <v>4795</v>
      </c>
      <c r="R18" s="311">
        <v>1288</v>
      </c>
      <c r="S18" s="311">
        <v>1889</v>
      </c>
      <c r="T18" s="307">
        <v>917</v>
      </c>
      <c r="U18" s="312" t="s">
        <v>17</v>
      </c>
      <c r="V18" s="512"/>
    </row>
    <row r="19" spans="1:22" s="309" customFormat="1" ht="11.85" customHeight="1">
      <c r="A19" s="517"/>
      <c r="B19" s="310" t="s">
        <v>18</v>
      </c>
      <c r="C19" s="311">
        <v>185748</v>
      </c>
      <c r="D19" s="311">
        <v>8700</v>
      </c>
      <c r="E19" s="311">
        <v>2555</v>
      </c>
      <c r="F19" s="311">
        <v>837</v>
      </c>
      <c r="G19" s="311">
        <v>2723</v>
      </c>
      <c r="H19" s="311">
        <v>29154</v>
      </c>
      <c r="I19" s="311">
        <v>1399</v>
      </c>
      <c r="J19" s="311">
        <v>736</v>
      </c>
      <c r="K19" s="311">
        <v>493</v>
      </c>
      <c r="L19" s="311">
        <v>11707</v>
      </c>
      <c r="M19" s="311">
        <v>1081</v>
      </c>
      <c r="N19" s="311">
        <v>1117</v>
      </c>
      <c r="O19" s="311">
        <v>2377</v>
      </c>
      <c r="P19" s="311">
        <v>4504</v>
      </c>
      <c r="Q19" s="311">
        <v>111896</v>
      </c>
      <c r="R19" s="311">
        <v>1543</v>
      </c>
      <c r="S19" s="311">
        <v>3702</v>
      </c>
      <c r="T19" s="307">
        <v>1224</v>
      </c>
      <c r="U19" s="312" t="s">
        <v>18</v>
      </c>
      <c r="V19" s="512"/>
    </row>
    <row r="20" spans="1:22" s="309" customFormat="1" ht="11.85" customHeight="1">
      <c r="A20" s="517"/>
      <c r="B20" s="310" t="s">
        <v>19</v>
      </c>
      <c r="C20" s="311">
        <v>259920</v>
      </c>
      <c r="D20" s="311">
        <v>11087</v>
      </c>
      <c r="E20" s="311">
        <v>8392</v>
      </c>
      <c r="F20" s="311">
        <v>33503</v>
      </c>
      <c r="G20" s="311">
        <v>3428</v>
      </c>
      <c r="H20" s="311">
        <v>885</v>
      </c>
      <c r="I20" s="311">
        <v>2834</v>
      </c>
      <c r="J20" s="311">
        <v>7822</v>
      </c>
      <c r="K20" s="311">
        <v>805</v>
      </c>
      <c r="L20" s="311">
        <v>16226</v>
      </c>
      <c r="M20" s="311">
        <v>3216</v>
      </c>
      <c r="N20" s="311">
        <v>3427</v>
      </c>
      <c r="O20" s="311">
        <v>3181</v>
      </c>
      <c r="P20" s="311">
        <v>1331</v>
      </c>
      <c r="Q20" s="311">
        <v>1637</v>
      </c>
      <c r="R20" s="311">
        <v>152005</v>
      </c>
      <c r="S20" s="311">
        <v>8870</v>
      </c>
      <c r="T20" s="307">
        <v>1271</v>
      </c>
      <c r="U20" s="312" t="s">
        <v>19</v>
      </c>
      <c r="V20" s="512"/>
    </row>
    <row r="21" spans="1:22" s="309" customFormat="1" ht="11.85" customHeight="1">
      <c r="A21" s="517"/>
      <c r="B21" s="310" t="s">
        <v>20</v>
      </c>
      <c r="C21" s="311">
        <v>326535</v>
      </c>
      <c r="D21" s="311">
        <v>11143</v>
      </c>
      <c r="E21" s="311">
        <v>43163</v>
      </c>
      <c r="F21" s="311">
        <v>7450</v>
      </c>
      <c r="G21" s="311">
        <v>2774</v>
      </c>
      <c r="H21" s="311">
        <v>1245</v>
      </c>
      <c r="I21" s="311">
        <v>2151</v>
      </c>
      <c r="J21" s="311">
        <v>7033</v>
      </c>
      <c r="K21" s="311">
        <v>753</v>
      </c>
      <c r="L21" s="311">
        <v>13228</v>
      </c>
      <c r="M21" s="311">
        <v>2052</v>
      </c>
      <c r="N21" s="311">
        <v>1965</v>
      </c>
      <c r="O21" s="311">
        <v>2994</v>
      </c>
      <c r="P21" s="311">
        <v>1838</v>
      </c>
      <c r="Q21" s="311">
        <v>3568</v>
      </c>
      <c r="R21" s="311">
        <v>8174</v>
      </c>
      <c r="S21" s="311">
        <v>215086</v>
      </c>
      <c r="T21" s="307">
        <v>1918</v>
      </c>
      <c r="U21" s="312" t="s">
        <v>20</v>
      </c>
      <c r="V21" s="512"/>
    </row>
    <row r="22" spans="1:22" s="309" customFormat="1" ht="20.100000000000001" customHeight="1">
      <c r="A22" s="517"/>
      <c r="B22" s="310" t="s">
        <v>21</v>
      </c>
      <c r="C22" s="311">
        <v>77588</v>
      </c>
      <c r="D22" s="311">
        <v>6972</v>
      </c>
      <c r="E22" s="311">
        <v>1945</v>
      </c>
      <c r="F22" s="311">
        <v>994</v>
      </c>
      <c r="G22" s="311">
        <v>1763</v>
      </c>
      <c r="H22" s="311">
        <v>881</v>
      </c>
      <c r="I22" s="311">
        <v>645</v>
      </c>
      <c r="J22" s="311">
        <v>468</v>
      </c>
      <c r="K22" s="311">
        <v>278</v>
      </c>
      <c r="L22" s="311">
        <v>7633</v>
      </c>
      <c r="M22" s="311">
        <v>658</v>
      </c>
      <c r="N22" s="311">
        <v>691</v>
      </c>
      <c r="O22" s="311">
        <v>1012</v>
      </c>
      <c r="P22" s="311">
        <v>795</v>
      </c>
      <c r="Q22" s="311">
        <v>886</v>
      </c>
      <c r="R22" s="311">
        <v>1095</v>
      </c>
      <c r="S22" s="311">
        <v>1620</v>
      </c>
      <c r="T22" s="307">
        <v>49252</v>
      </c>
      <c r="U22" s="312" t="s">
        <v>21</v>
      </c>
      <c r="V22" s="512"/>
    </row>
    <row r="23" spans="1:22" s="321" customFormat="1" ht="20.100000000000001" customHeight="1">
      <c r="A23" s="518" t="s">
        <v>143</v>
      </c>
      <c r="B23" s="317" t="s">
        <v>5</v>
      </c>
      <c r="C23" s="318">
        <v>3139371</v>
      </c>
      <c r="D23" s="318">
        <v>623745</v>
      </c>
      <c r="E23" s="318">
        <v>188688</v>
      </c>
      <c r="F23" s="318">
        <v>138485</v>
      </c>
      <c r="G23" s="318">
        <v>187129</v>
      </c>
      <c r="H23" s="318">
        <v>89372</v>
      </c>
      <c r="I23" s="318">
        <v>104998</v>
      </c>
      <c r="J23" s="318">
        <v>64261</v>
      </c>
      <c r="K23" s="318">
        <v>27258</v>
      </c>
      <c r="L23" s="318">
        <v>828812</v>
      </c>
      <c r="M23" s="318">
        <v>96328</v>
      </c>
      <c r="N23" s="318">
        <v>99200</v>
      </c>
      <c r="O23" s="318">
        <v>130126</v>
      </c>
      <c r="P23" s="318">
        <v>102721</v>
      </c>
      <c r="Q23" s="318">
        <v>96057</v>
      </c>
      <c r="R23" s="318">
        <v>143629</v>
      </c>
      <c r="S23" s="318">
        <v>176799</v>
      </c>
      <c r="T23" s="319">
        <v>41763</v>
      </c>
      <c r="U23" s="320" t="s">
        <v>5</v>
      </c>
      <c r="V23" s="513" t="s">
        <v>143</v>
      </c>
    </row>
    <row r="24" spans="1:22" s="309" customFormat="1" ht="11.85" customHeight="1">
      <c r="A24" s="519"/>
      <c r="B24" s="310" t="s">
        <v>6</v>
      </c>
      <c r="C24" s="311">
        <v>605668</v>
      </c>
      <c r="D24" s="311">
        <v>388177</v>
      </c>
      <c r="E24" s="311">
        <v>8710</v>
      </c>
      <c r="F24" s="311">
        <v>6458</v>
      </c>
      <c r="G24" s="311">
        <v>16932</v>
      </c>
      <c r="H24" s="311">
        <v>4702</v>
      </c>
      <c r="I24" s="311">
        <v>6473</v>
      </c>
      <c r="J24" s="311">
        <v>2694</v>
      </c>
      <c r="K24" s="311">
        <v>2405</v>
      </c>
      <c r="L24" s="311">
        <v>117651</v>
      </c>
      <c r="M24" s="311">
        <v>8153</v>
      </c>
      <c r="N24" s="311">
        <v>5979</v>
      </c>
      <c r="O24" s="311">
        <v>8928</v>
      </c>
      <c r="P24" s="311">
        <v>5614</v>
      </c>
      <c r="Q24" s="311">
        <v>4711</v>
      </c>
      <c r="R24" s="311">
        <v>6779</v>
      </c>
      <c r="S24" s="311">
        <v>7347</v>
      </c>
      <c r="T24" s="307">
        <v>3955</v>
      </c>
      <c r="U24" s="312" t="s">
        <v>6</v>
      </c>
      <c r="V24" s="514"/>
    </row>
    <row r="25" spans="1:22" s="309" customFormat="1" ht="11.85" customHeight="1">
      <c r="A25" s="519"/>
      <c r="B25" s="310" t="s">
        <v>7</v>
      </c>
      <c r="C25" s="311">
        <v>181790</v>
      </c>
      <c r="D25" s="311">
        <v>6380</v>
      </c>
      <c r="E25" s="311">
        <v>125423</v>
      </c>
      <c r="F25" s="311">
        <v>2685</v>
      </c>
      <c r="G25" s="311">
        <v>1256</v>
      </c>
      <c r="H25" s="311">
        <v>688</v>
      </c>
      <c r="I25" s="311">
        <v>1028</v>
      </c>
      <c r="J25" s="311">
        <v>5226</v>
      </c>
      <c r="K25" s="311">
        <v>565</v>
      </c>
      <c r="L25" s="311">
        <v>6607</v>
      </c>
      <c r="M25" s="311">
        <v>981</v>
      </c>
      <c r="N25" s="311">
        <v>891</v>
      </c>
      <c r="O25" s="311">
        <v>1244</v>
      </c>
      <c r="P25" s="311">
        <v>674</v>
      </c>
      <c r="Q25" s="311">
        <v>1402</v>
      </c>
      <c r="R25" s="311">
        <v>4484</v>
      </c>
      <c r="S25" s="311">
        <v>20967</v>
      </c>
      <c r="T25" s="307">
        <v>1289</v>
      </c>
      <c r="U25" s="312" t="s">
        <v>7</v>
      </c>
      <c r="V25" s="514"/>
    </row>
    <row r="26" spans="1:22" s="309" customFormat="1" ht="11.85" customHeight="1">
      <c r="A26" s="519"/>
      <c r="B26" s="310" t="s">
        <v>8</v>
      </c>
      <c r="C26" s="311">
        <v>135174</v>
      </c>
      <c r="D26" s="311">
        <v>4424</v>
      </c>
      <c r="E26" s="311">
        <v>2560</v>
      </c>
      <c r="F26" s="311">
        <v>90504</v>
      </c>
      <c r="G26" s="311">
        <v>894</v>
      </c>
      <c r="H26" s="311">
        <v>349</v>
      </c>
      <c r="I26" s="311">
        <v>943</v>
      </c>
      <c r="J26" s="311">
        <v>1749</v>
      </c>
      <c r="K26" s="311">
        <v>295</v>
      </c>
      <c r="L26" s="311">
        <v>5124</v>
      </c>
      <c r="M26" s="311">
        <v>848</v>
      </c>
      <c r="N26" s="311">
        <v>940</v>
      </c>
      <c r="O26" s="311">
        <v>1117</v>
      </c>
      <c r="P26" s="311">
        <v>510</v>
      </c>
      <c r="Q26" s="311">
        <v>463</v>
      </c>
      <c r="R26" s="311">
        <v>19646</v>
      </c>
      <c r="S26" s="311">
        <v>4232</v>
      </c>
      <c r="T26" s="307">
        <v>576</v>
      </c>
      <c r="U26" s="312" t="s">
        <v>8</v>
      </c>
      <c r="V26" s="514"/>
    </row>
    <row r="27" spans="1:22" s="309" customFormat="1" ht="11.85" customHeight="1">
      <c r="A27" s="519"/>
      <c r="B27" s="310" t="s">
        <v>9</v>
      </c>
      <c r="C27" s="311">
        <v>203539</v>
      </c>
      <c r="D27" s="311">
        <v>23580</v>
      </c>
      <c r="E27" s="311">
        <v>1778</v>
      </c>
      <c r="F27" s="311">
        <v>1274</v>
      </c>
      <c r="G27" s="311">
        <v>117682</v>
      </c>
      <c r="H27" s="311">
        <v>1061</v>
      </c>
      <c r="I27" s="311">
        <v>1435</v>
      </c>
      <c r="J27" s="311">
        <v>662</v>
      </c>
      <c r="K27" s="311">
        <v>465</v>
      </c>
      <c r="L27" s="311">
        <v>38891</v>
      </c>
      <c r="M27" s="311">
        <v>2472</v>
      </c>
      <c r="N27" s="311">
        <v>2013</v>
      </c>
      <c r="O27" s="311">
        <v>3612</v>
      </c>
      <c r="P27" s="311">
        <v>1737</v>
      </c>
      <c r="Q27" s="311">
        <v>1583</v>
      </c>
      <c r="R27" s="311">
        <v>2163</v>
      </c>
      <c r="S27" s="311">
        <v>1956</v>
      </c>
      <c r="T27" s="307">
        <v>1175</v>
      </c>
      <c r="U27" s="312" t="s">
        <v>9</v>
      </c>
      <c r="V27" s="514"/>
    </row>
    <row r="28" spans="1:22" s="309" customFormat="1" ht="11.85" customHeight="1">
      <c r="A28" s="519"/>
      <c r="B28" s="310" t="s">
        <v>10</v>
      </c>
      <c r="C28" s="311">
        <v>82558</v>
      </c>
      <c r="D28" s="311">
        <v>3290</v>
      </c>
      <c r="E28" s="311">
        <v>561</v>
      </c>
      <c r="F28" s="311">
        <v>335</v>
      </c>
      <c r="G28" s="311">
        <v>799</v>
      </c>
      <c r="H28" s="311">
        <v>54157</v>
      </c>
      <c r="I28" s="311">
        <v>640</v>
      </c>
      <c r="J28" s="311">
        <v>180</v>
      </c>
      <c r="K28" s="311">
        <v>225</v>
      </c>
      <c r="L28" s="311">
        <v>3737</v>
      </c>
      <c r="M28" s="311">
        <v>377</v>
      </c>
      <c r="N28" s="311">
        <v>419</v>
      </c>
      <c r="O28" s="311">
        <v>818</v>
      </c>
      <c r="P28" s="311">
        <v>2717</v>
      </c>
      <c r="Q28" s="311">
        <v>12699</v>
      </c>
      <c r="R28" s="311">
        <v>484</v>
      </c>
      <c r="S28" s="311">
        <v>673</v>
      </c>
      <c r="T28" s="307">
        <v>447</v>
      </c>
      <c r="U28" s="312" t="s">
        <v>10</v>
      </c>
      <c r="V28" s="514"/>
    </row>
    <row r="29" spans="1:22" s="309" customFormat="1" ht="11.85" customHeight="1">
      <c r="A29" s="519"/>
      <c r="B29" s="310" t="s">
        <v>11</v>
      </c>
      <c r="C29" s="311">
        <v>106596</v>
      </c>
      <c r="D29" s="311">
        <v>5916</v>
      </c>
      <c r="E29" s="311">
        <v>1220</v>
      </c>
      <c r="F29" s="311">
        <v>1203</v>
      </c>
      <c r="G29" s="311">
        <v>1399</v>
      </c>
      <c r="H29" s="311">
        <v>904</v>
      </c>
      <c r="I29" s="311">
        <v>63820</v>
      </c>
      <c r="J29" s="311">
        <v>517</v>
      </c>
      <c r="K29" s="311">
        <v>3575</v>
      </c>
      <c r="L29" s="311">
        <v>7928</v>
      </c>
      <c r="M29" s="311">
        <v>1287</v>
      </c>
      <c r="N29" s="311">
        <v>4195</v>
      </c>
      <c r="O29" s="311">
        <v>7336</v>
      </c>
      <c r="P29" s="311">
        <v>2305</v>
      </c>
      <c r="Q29" s="311">
        <v>960</v>
      </c>
      <c r="R29" s="311">
        <v>2019</v>
      </c>
      <c r="S29" s="311">
        <v>1574</v>
      </c>
      <c r="T29" s="307">
        <v>438</v>
      </c>
      <c r="U29" s="312" t="s">
        <v>11</v>
      </c>
      <c r="V29" s="514"/>
    </row>
    <row r="30" spans="1:22" s="309" customFormat="1" ht="11.85" customHeight="1">
      <c r="A30" s="519"/>
      <c r="B30" s="310" t="s">
        <v>12</v>
      </c>
      <c r="C30" s="311">
        <v>62934</v>
      </c>
      <c r="D30" s="311">
        <v>2163</v>
      </c>
      <c r="E30" s="311">
        <v>5154</v>
      </c>
      <c r="F30" s="311">
        <v>1799</v>
      </c>
      <c r="G30" s="311">
        <v>629</v>
      </c>
      <c r="H30" s="311">
        <v>236</v>
      </c>
      <c r="I30" s="311">
        <v>454</v>
      </c>
      <c r="J30" s="311">
        <v>38173</v>
      </c>
      <c r="K30" s="311">
        <v>122</v>
      </c>
      <c r="L30" s="311">
        <v>2915</v>
      </c>
      <c r="M30" s="311">
        <v>445</v>
      </c>
      <c r="N30" s="311">
        <v>509</v>
      </c>
      <c r="O30" s="311">
        <v>784</v>
      </c>
      <c r="P30" s="311">
        <v>387</v>
      </c>
      <c r="Q30" s="311">
        <v>662</v>
      </c>
      <c r="R30" s="311">
        <v>4084</v>
      </c>
      <c r="S30" s="311">
        <v>4168</v>
      </c>
      <c r="T30" s="307">
        <v>250</v>
      </c>
      <c r="U30" s="312" t="s">
        <v>12</v>
      </c>
      <c r="V30" s="514"/>
    </row>
    <row r="31" spans="1:22" s="309" customFormat="1" ht="11.85" customHeight="1">
      <c r="A31" s="519"/>
      <c r="B31" s="310" t="s">
        <v>167</v>
      </c>
      <c r="C31" s="311">
        <v>27308</v>
      </c>
      <c r="D31" s="311">
        <v>2187</v>
      </c>
      <c r="E31" s="311">
        <v>426</v>
      </c>
      <c r="F31" s="311">
        <v>302</v>
      </c>
      <c r="G31" s="311">
        <v>503</v>
      </c>
      <c r="H31" s="311">
        <v>305</v>
      </c>
      <c r="I31" s="311">
        <v>3845</v>
      </c>
      <c r="J31" s="311">
        <v>161</v>
      </c>
      <c r="K31" s="311">
        <v>10195</v>
      </c>
      <c r="L31" s="311">
        <v>2772</v>
      </c>
      <c r="M31" s="311">
        <v>344</v>
      </c>
      <c r="N31" s="311">
        <v>1793</v>
      </c>
      <c r="O31" s="311">
        <v>2399</v>
      </c>
      <c r="P31" s="311">
        <v>585</v>
      </c>
      <c r="Q31" s="311">
        <v>347</v>
      </c>
      <c r="R31" s="311">
        <v>519</v>
      </c>
      <c r="S31" s="311">
        <v>431</v>
      </c>
      <c r="T31" s="307">
        <v>194</v>
      </c>
      <c r="U31" s="312" t="s">
        <v>12</v>
      </c>
      <c r="V31" s="514"/>
    </row>
    <row r="32" spans="1:22" s="309" customFormat="1" ht="11.85" customHeight="1">
      <c r="A32" s="519"/>
      <c r="B32" s="310" t="s">
        <v>13</v>
      </c>
      <c r="C32" s="311">
        <v>843579</v>
      </c>
      <c r="D32" s="311">
        <v>138848</v>
      </c>
      <c r="E32" s="311">
        <v>8286</v>
      </c>
      <c r="F32" s="311">
        <v>6791</v>
      </c>
      <c r="G32" s="311">
        <v>30816</v>
      </c>
      <c r="H32" s="311">
        <v>4963</v>
      </c>
      <c r="I32" s="311">
        <v>7950</v>
      </c>
      <c r="J32" s="311">
        <v>3429</v>
      </c>
      <c r="K32" s="311">
        <v>2657</v>
      </c>
      <c r="L32" s="311">
        <v>559531</v>
      </c>
      <c r="M32" s="311">
        <v>14335</v>
      </c>
      <c r="N32" s="311">
        <v>10952</v>
      </c>
      <c r="O32" s="311">
        <v>18232</v>
      </c>
      <c r="P32" s="311">
        <v>7686</v>
      </c>
      <c r="Q32" s="311">
        <v>6233</v>
      </c>
      <c r="R32" s="311">
        <v>10045</v>
      </c>
      <c r="S32" s="311">
        <v>8796</v>
      </c>
      <c r="T32" s="307">
        <v>4029</v>
      </c>
      <c r="U32" s="312" t="s">
        <v>13</v>
      </c>
      <c r="V32" s="514"/>
    </row>
    <row r="33" spans="1:22" s="309" customFormat="1" ht="11.85" customHeight="1">
      <c r="A33" s="519"/>
      <c r="B33" s="310" t="s">
        <v>14</v>
      </c>
      <c r="C33" s="311">
        <v>96219</v>
      </c>
      <c r="D33" s="311">
        <v>8481</v>
      </c>
      <c r="E33" s="311">
        <v>979</v>
      </c>
      <c r="F33" s="311">
        <v>910</v>
      </c>
      <c r="G33" s="311">
        <v>2303</v>
      </c>
      <c r="H33" s="311">
        <v>407</v>
      </c>
      <c r="I33" s="311">
        <v>1032</v>
      </c>
      <c r="J33" s="311">
        <v>439</v>
      </c>
      <c r="K33" s="311">
        <v>312</v>
      </c>
      <c r="L33" s="311">
        <v>14472</v>
      </c>
      <c r="M33" s="311">
        <v>58340</v>
      </c>
      <c r="N33" s="311">
        <v>2059</v>
      </c>
      <c r="O33" s="311">
        <v>1565</v>
      </c>
      <c r="P33" s="311">
        <v>622</v>
      </c>
      <c r="Q33" s="311">
        <v>684</v>
      </c>
      <c r="R33" s="311">
        <v>1899</v>
      </c>
      <c r="S33" s="311">
        <v>1234</v>
      </c>
      <c r="T33" s="307">
        <v>481</v>
      </c>
      <c r="U33" s="312" t="s">
        <v>14</v>
      </c>
      <c r="V33" s="514"/>
    </row>
    <row r="34" spans="1:22" s="309" customFormat="1" ht="11.85" customHeight="1">
      <c r="A34" s="519"/>
      <c r="B34" s="310" t="s">
        <v>15</v>
      </c>
      <c r="C34" s="311">
        <v>105916</v>
      </c>
      <c r="D34" s="311">
        <v>6330</v>
      </c>
      <c r="E34" s="311">
        <v>1153</v>
      </c>
      <c r="F34" s="311">
        <v>1182</v>
      </c>
      <c r="G34" s="311">
        <v>2212</v>
      </c>
      <c r="H34" s="311">
        <v>662</v>
      </c>
      <c r="I34" s="311">
        <v>4681</v>
      </c>
      <c r="J34" s="311">
        <v>687</v>
      </c>
      <c r="K34" s="311">
        <v>2140</v>
      </c>
      <c r="L34" s="311">
        <v>13565</v>
      </c>
      <c r="M34" s="311">
        <v>2265</v>
      </c>
      <c r="N34" s="311">
        <v>60425</v>
      </c>
      <c r="O34" s="311">
        <v>3842</v>
      </c>
      <c r="P34" s="311">
        <v>1354</v>
      </c>
      <c r="Q34" s="311">
        <v>891</v>
      </c>
      <c r="R34" s="311">
        <v>2559</v>
      </c>
      <c r="S34" s="311">
        <v>1557</v>
      </c>
      <c r="T34" s="307">
        <v>411</v>
      </c>
      <c r="U34" s="312" t="s">
        <v>15</v>
      </c>
      <c r="V34" s="514"/>
    </row>
    <row r="35" spans="1:22" s="309" customFormat="1" ht="11.85" customHeight="1">
      <c r="A35" s="519"/>
      <c r="B35" s="310" t="s">
        <v>16</v>
      </c>
      <c r="C35" s="311">
        <v>135564</v>
      </c>
      <c r="D35" s="311">
        <v>9272</v>
      </c>
      <c r="E35" s="311">
        <v>1562</v>
      </c>
      <c r="F35" s="311">
        <v>1415</v>
      </c>
      <c r="G35" s="311">
        <v>4068</v>
      </c>
      <c r="H35" s="311">
        <v>1158</v>
      </c>
      <c r="I35" s="311">
        <v>7026</v>
      </c>
      <c r="J35" s="311">
        <v>795</v>
      </c>
      <c r="K35" s="311">
        <v>2467</v>
      </c>
      <c r="L35" s="311">
        <v>20546</v>
      </c>
      <c r="M35" s="311">
        <v>1767</v>
      </c>
      <c r="N35" s="311">
        <v>3786</v>
      </c>
      <c r="O35" s="311">
        <v>71551</v>
      </c>
      <c r="P35" s="311">
        <v>3169</v>
      </c>
      <c r="Q35" s="311">
        <v>1731</v>
      </c>
      <c r="R35" s="311">
        <v>2472</v>
      </c>
      <c r="S35" s="311">
        <v>2106</v>
      </c>
      <c r="T35" s="307">
        <v>673</v>
      </c>
      <c r="U35" s="312" t="s">
        <v>16</v>
      </c>
      <c r="V35" s="514"/>
    </row>
    <row r="36" spans="1:22" s="309" customFormat="1" ht="11.85" customHeight="1">
      <c r="A36" s="519"/>
      <c r="B36" s="310" t="s">
        <v>17</v>
      </c>
      <c r="C36" s="311">
        <v>101221</v>
      </c>
      <c r="D36" s="311">
        <v>5133</v>
      </c>
      <c r="E36" s="311">
        <v>760</v>
      </c>
      <c r="F36" s="311">
        <v>472</v>
      </c>
      <c r="G36" s="311">
        <v>1467</v>
      </c>
      <c r="H36" s="311">
        <v>3001</v>
      </c>
      <c r="I36" s="311">
        <v>1830</v>
      </c>
      <c r="J36" s="311">
        <v>352</v>
      </c>
      <c r="K36" s="311">
        <v>569</v>
      </c>
      <c r="L36" s="311">
        <v>7416</v>
      </c>
      <c r="M36" s="311">
        <v>638</v>
      </c>
      <c r="N36" s="311">
        <v>1097</v>
      </c>
      <c r="O36" s="311">
        <v>3002</v>
      </c>
      <c r="P36" s="311">
        <v>70583</v>
      </c>
      <c r="Q36" s="311">
        <v>2545</v>
      </c>
      <c r="R36" s="311">
        <v>763</v>
      </c>
      <c r="S36" s="311">
        <v>1061</v>
      </c>
      <c r="T36" s="307">
        <v>532</v>
      </c>
      <c r="U36" s="312" t="s">
        <v>17</v>
      </c>
      <c r="V36" s="514"/>
    </row>
    <row r="37" spans="1:22" s="309" customFormat="1" ht="11.85" customHeight="1">
      <c r="A37" s="519"/>
      <c r="B37" s="310" t="s">
        <v>18</v>
      </c>
      <c r="C37" s="311">
        <v>97839</v>
      </c>
      <c r="D37" s="311">
        <v>4569</v>
      </c>
      <c r="E37" s="311">
        <v>1398</v>
      </c>
      <c r="F37" s="311">
        <v>478</v>
      </c>
      <c r="G37" s="311">
        <v>1567</v>
      </c>
      <c r="H37" s="311">
        <v>15079</v>
      </c>
      <c r="I37" s="311">
        <v>758</v>
      </c>
      <c r="J37" s="311">
        <v>465</v>
      </c>
      <c r="K37" s="311">
        <v>278</v>
      </c>
      <c r="L37" s="311">
        <v>6665</v>
      </c>
      <c r="M37" s="311">
        <v>655</v>
      </c>
      <c r="N37" s="311">
        <v>642</v>
      </c>
      <c r="O37" s="311">
        <v>1414</v>
      </c>
      <c r="P37" s="311">
        <v>2519</v>
      </c>
      <c r="Q37" s="311">
        <v>57595</v>
      </c>
      <c r="R37" s="311">
        <v>947</v>
      </c>
      <c r="S37" s="311">
        <v>2114</v>
      </c>
      <c r="T37" s="307">
        <v>696</v>
      </c>
      <c r="U37" s="312" t="s">
        <v>18</v>
      </c>
      <c r="V37" s="514"/>
    </row>
    <row r="38" spans="1:22" s="309" customFormat="1" ht="11.85" customHeight="1">
      <c r="A38" s="519"/>
      <c r="B38" s="310" t="s">
        <v>19</v>
      </c>
      <c r="C38" s="311">
        <v>139648</v>
      </c>
      <c r="D38" s="311">
        <v>5896</v>
      </c>
      <c r="E38" s="311">
        <v>4595</v>
      </c>
      <c r="F38" s="311">
        <v>18023</v>
      </c>
      <c r="G38" s="311">
        <v>2033</v>
      </c>
      <c r="H38" s="311">
        <v>520</v>
      </c>
      <c r="I38" s="311">
        <v>1576</v>
      </c>
      <c r="J38" s="311">
        <v>4407</v>
      </c>
      <c r="K38" s="311">
        <v>435</v>
      </c>
      <c r="L38" s="311">
        <v>9392</v>
      </c>
      <c r="M38" s="311">
        <v>1840</v>
      </c>
      <c r="N38" s="311">
        <v>1990</v>
      </c>
      <c r="O38" s="311">
        <v>1927</v>
      </c>
      <c r="P38" s="311">
        <v>764</v>
      </c>
      <c r="Q38" s="311">
        <v>950</v>
      </c>
      <c r="R38" s="311">
        <v>79386</v>
      </c>
      <c r="S38" s="311">
        <v>5196</v>
      </c>
      <c r="T38" s="307">
        <v>718</v>
      </c>
      <c r="U38" s="312" t="s">
        <v>19</v>
      </c>
      <c r="V38" s="514"/>
    </row>
    <row r="39" spans="1:22" s="309" customFormat="1" ht="11.85" customHeight="1">
      <c r="A39" s="519"/>
      <c r="B39" s="310" t="s">
        <v>20</v>
      </c>
      <c r="C39" s="311">
        <v>174333</v>
      </c>
      <c r="D39" s="311">
        <v>5737</v>
      </c>
      <c r="E39" s="311">
        <v>23143</v>
      </c>
      <c r="F39" s="311">
        <v>4152</v>
      </c>
      <c r="G39" s="311">
        <v>1630</v>
      </c>
      <c r="H39" s="311">
        <v>711</v>
      </c>
      <c r="I39" s="311">
        <v>1165</v>
      </c>
      <c r="J39" s="311">
        <v>4070</v>
      </c>
      <c r="K39" s="311">
        <v>416</v>
      </c>
      <c r="L39" s="311">
        <v>7685</v>
      </c>
      <c r="M39" s="311">
        <v>1194</v>
      </c>
      <c r="N39" s="311">
        <v>1130</v>
      </c>
      <c r="O39" s="311">
        <v>1794</v>
      </c>
      <c r="P39" s="311">
        <v>1061</v>
      </c>
      <c r="Q39" s="311">
        <v>2113</v>
      </c>
      <c r="R39" s="311">
        <v>4759</v>
      </c>
      <c r="S39" s="311">
        <v>112514</v>
      </c>
      <c r="T39" s="307">
        <v>1059</v>
      </c>
      <c r="U39" s="312" t="s">
        <v>20</v>
      </c>
      <c r="V39" s="514"/>
    </row>
    <row r="40" spans="1:22" s="309" customFormat="1" ht="20.100000000000001" customHeight="1">
      <c r="A40" s="520"/>
      <c r="B40" s="313" t="s">
        <v>21</v>
      </c>
      <c r="C40" s="314">
        <v>39485</v>
      </c>
      <c r="D40" s="314">
        <v>3362</v>
      </c>
      <c r="E40" s="314">
        <v>980</v>
      </c>
      <c r="F40" s="314">
        <v>502</v>
      </c>
      <c r="G40" s="314">
        <v>939</v>
      </c>
      <c r="H40" s="314">
        <v>469</v>
      </c>
      <c r="I40" s="314">
        <v>342</v>
      </c>
      <c r="J40" s="314">
        <v>255</v>
      </c>
      <c r="K40" s="314">
        <v>137</v>
      </c>
      <c r="L40" s="314">
        <v>3915</v>
      </c>
      <c r="M40" s="314">
        <v>387</v>
      </c>
      <c r="N40" s="314">
        <v>380</v>
      </c>
      <c r="O40" s="314">
        <v>561</v>
      </c>
      <c r="P40" s="314">
        <v>434</v>
      </c>
      <c r="Q40" s="314">
        <v>488</v>
      </c>
      <c r="R40" s="314">
        <v>621</v>
      </c>
      <c r="S40" s="314">
        <v>873</v>
      </c>
      <c r="T40" s="315">
        <v>24840</v>
      </c>
      <c r="U40" s="316" t="s">
        <v>21</v>
      </c>
      <c r="V40" s="515"/>
    </row>
    <row r="41" spans="1:22" s="321" customFormat="1" ht="20.100000000000001" customHeight="1">
      <c r="A41" s="519" t="s">
        <v>144</v>
      </c>
      <c r="B41" s="322" t="s">
        <v>5</v>
      </c>
      <c r="C41" s="323">
        <v>2978413</v>
      </c>
      <c r="D41" s="323">
        <v>647952</v>
      </c>
      <c r="E41" s="323">
        <v>185909</v>
      </c>
      <c r="F41" s="323">
        <v>134255</v>
      </c>
      <c r="G41" s="323">
        <v>176132</v>
      </c>
      <c r="H41" s="323">
        <v>87179</v>
      </c>
      <c r="I41" s="323">
        <v>99550</v>
      </c>
      <c r="J41" s="323">
        <v>55418</v>
      </c>
      <c r="K41" s="323">
        <v>27144</v>
      </c>
      <c r="L41" s="323">
        <v>767091</v>
      </c>
      <c r="M41" s="323">
        <v>87884</v>
      </c>
      <c r="N41" s="323">
        <v>89212</v>
      </c>
      <c r="O41" s="323">
        <v>113465</v>
      </c>
      <c r="P41" s="323">
        <v>95949</v>
      </c>
      <c r="Q41" s="323">
        <v>88357</v>
      </c>
      <c r="R41" s="323">
        <v>125505</v>
      </c>
      <c r="S41" s="323">
        <v>157313</v>
      </c>
      <c r="T41" s="324">
        <v>40098</v>
      </c>
      <c r="U41" s="325" t="s">
        <v>5</v>
      </c>
      <c r="V41" s="514" t="s">
        <v>144</v>
      </c>
    </row>
    <row r="42" spans="1:22" s="309" customFormat="1" ht="11.85" customHeight="1">
      <c r="A42" s="519"/>
      <c r="B42" s="310" t="s">
        <v>6</v>
      </c>
      <c r="C42" s="311">
        <v>639260</v>
      </c>
      <c r="D42" s="311">
        <v>418424</v>
      </c>
      <c r="E42" s="311">
        <v>9445</v>
      </c>
      <c r="F42" s="311">
        <v>7068</v>
      </c>
      <c r="G42" s="311">
        <v>17166</v>
      </c>
      <c r="H42" s="311">
        <v>5111</v>
      </c>
      <c r="I42" s="311">
        <v>6282</v>
      </c>
      <c r="J42" s="311">
        <v>2829</v>
      </c>
      <c r="K42" s="311">
        <v>2604</v>
      </c>
      <c r="L42" s="311">
        <v>118017</v>
      </c>
      <c r="M42" s="311">
        <v>8373</v>
      </c>
      <c r="N42" s="311">
        <v>6009</v>
      </c>
      <c r="O42" s="311">
        <v>8792</v>
      </c>
      <c r="P42" s="311">
        <v>5729</v>
      </c>
      <c r="Q42" s="311">
        <v>4832</v>
      </c>
      <c r="R42" s="311">
        <v>6743</v>
      </c>
      <c r="S42" s="311">
        <v>7632</v>
      </c>
      <c r="T42" s="307">
        <v>4204</v>
      </c>
      <c r="U42" s="312" t="s">
        <v>6</v>
      </c>
      <c r="V42" s="514"/>
    </row>
    <row r="43" spans="1:22" s="309" customFormat="1" ht="11.85" customHeight="1">
      <c r="A43" s="519"/>
      <c r="B43" s="310" t="s">
        <v>7</v>
      </c>
      <c r="C43" s="311">
        <v>180626</v>
      </c>
      <c r="D43" s="311">
        <v>6282</v>
      </c>
      <c r="E43" s="311">
        <v>130755</v>
      </c>
      <c r="F43" s="311">
        <v>2397</v>
      </c>
      <c r="G43" s="311">
        <v>953</v>
      </c>
      <c r="H43" s="311">
        <v>533</v>
      </c>
      <c r="I43" s="311">
        <v>789</v>
      </c>
      <c r="J43" s="311">
        <v>4275</v>
      </c>
      <c r="K43" s="311">
        <v>520</v>
      </c>
      <c r="L43" s="311">
        <v>5202</v>
      </c>
      <c r="M43" s="311">
        <v>781</v>
      </c>
      <c r="N43" s="311">
        <v>683</v>
      </c>
      <c r="O43" s="311">
        <v>917</v>
      </c>
      <c r="P43" s="311">
        <v>586</v>
      </c>
      <c r="Q43" s="311">
        <v>1309</v>
      </c>
      <c r="R43" s="311">
        <v>3709</v>
      </c>
      <c r="S43" s="311">
        <v>19775</v>
      </c>
      <c r="T43" s="307">
        <v>1160</v>
      </c>
      <c r="U43" s="312" t="s">
        <v>7</v>
      </c>
      <c r="V43" s="514"/>
    </row>
    <row r="44" spans="1:22" s="309" customFormat="1" ht="11.85" customHeight="1">
      <c r="A44" s="519"/>
      <c r="B44" s="310" t="s">
        <v>8</v>
      </c>
      <c r="C44" s="311">
        <v>133294</v>
      </c>
      <c r="D44" s="311">
        <v>4391</v>
      </c>
      <c r="E44" s="311">
        <v>2467</v>
      </c>
      <c r="F44" s="311">
        <v>93052</v>
      </c>
      <c r="G44" s="311">
        <v>726</v>
      </c>
      <c r="H44" s="311">
        <v>297</v>
      </c>
      <c r="I44" s="311">
        <v>833</v>
      </c>
      <c r="J44" s="311">
        <v>1394</v>
      </c>
      <c r="K44" s="311">
        <v>292</v>
      </c>
      <c r="L44" s="311">
        <v>4068</v>
      </c>
      <c r="M44" s="311">
        <v>696</v>
      </c>
      <c r="N44" s="311">
        <v>768</v>
      </c>
      <c r="O44" s="311">
        <v>844</v>
      </c>
      <c r="P44" s="311">
        <v>459</v>
      </c>
      <c r="Q44" s="311">
        <v>385</v>
      </c>
      <c r="R44" s="311">
        <v>18191</v>
      </c>
      <c r="S44" s="311">
        <v>3841</v>
      </c>
      <c r="T44" s="307">
        <v>590</v>
      </c>
      <c r="U44" s="312" t="s">
        <v>8</v>
      </c>
      <c r="V44" s="514"/>
    </row>
    <row r="45" spans="1:22" s="309" customFormat="1" ht="11.85" customHeight="1">
      <c r="A45" s="519"/>
      <c r="B45" s="310" t="s">
        <v>9</v>
      </c>
      <c r="C45" s="311">
        <v>191986</v>
      </c>
      <c r="D45" s="311">
        <v>22990</v>
      </c>
      <c r="E45" s="311">
        <v>1505</v>
      </c>
      <c r="F45" s="311">
        <v>1022</v>
      </c>
      <c r="G45" s="311">
        <v>115609</v>
      </c>
      <c r="H45" s="311">
        <v>976</v>
      </c>
      <c r="I45" s="311">
        <v>1193</v>
      </c>
      <c r="J45" s="311">
        <v>496</v>
      </c>
      <c r="K45" s="311">
        <v>426</v>
      </c>
      <c r="L45" s="311">
        <v>34198</v>
      </c>
      <c r="M45" s="311">
        <v>2166</v>
      </c>
      <c r="N45" s="311">
        <v>1602</v>
      </c>
      <c r="O45" s="311">
        <v>2917</v>
      </c>
      <c r="P45" s="311">
        <v>1422</v>
      </c>
      <c r="Q45" s="311">
        <v>1372</v>
      </c>
      <c r="R45" s="311">
        <v>1621</v>
      </c>
      <c r="S45" s="311">
        <v>1459</v>
      </c>
      <c r="T45" s="307">
        <v>1012</v>
      </c>
      <c r="U45" s="312" t="s">
        <v>9</v>
      </c>
      <c r="V45" s="514"/>
    </row>
    <row r="46" spans="1:22" s="309" customFormat="1" ht="11.85" customHeight="1">
      <c r="A46" s="519"/>
      <c r="B46" s="310" t="s">
        <v>10</v>
      </c>
      <c r="C46" s="311">
        <v>80315</v>
      </c>
      <c r="D46" s="311">
        <v>3127</v>
      </c>
      <c r="E46" s="311">
        <v>449</v>
      </c>
      <c r="F46" s="311">
        <v>251</v>
      </c>
      <c r="G46" s="311">
        <v>644</v>
      </c>
      <c r="H46" s="311">
        <v>54989</v>
      </c>
      <c r="I46" s="311">
        <v>505</v>
      </c>
      <c r="J46" s="311">
        <v>148</v>
      </c>
      <c r="K46" s="311">
        <v>219</v>
      </c>
      <c r="L46" s="311">
        <v>3069</v>
      </c>
      <c r="M46" s="311">
        <v>291</v>
      </c>
      <c r="N46" s="311">
        <v>283</v>
      </c>
      <c r="O46" s="311">
        <v>557</v>
      </c>
      <c r="P46" s="311">
        <v>2479</v>
      </c>
      <c r="Q46" s="311">
        <v>12015</v>
      </c>
      <c r="R46" s="311">
        <v>316</v>
      </c>
      <c r="S46" s="311">
        <v>558</v>
      </c>
      <c r="T46" s="307">
        <v>415</v>
      </c>
      <c r="U46" s="312" t="s">
        <v>10</v>
      </c>
      <c r="V46" s="514"/>
    </row>
    <row r="47" spans="1:22" s="309" customFormat="1" ht="11.85" customHeight="1">
      <c r="A47" s="519"/>
      <c r="B47" s="310" t="s">
        <v>11</v>
      </c>
      <c r="C47" s="311">
        <v>100776</v>
      </c>
      <c r="D47" s="311">
        <v>5313</v>
      </c>
      <c r="E47" s="311">
        <v>1098</v>
      </c>
      <c r="F47" s="311">
        <v>1070</v>
      </c>
      <c r="G47" s="311">
        <v>1056</v>
      </c>
      <c r="H47" s="311">
        <v>797</v>
      </c>
      <c r="I47" s="311">
        <v>63540</v>
      </c>
      <c r="J47" s="311">
        <v>386</v>
      </c>
      <c r="K47" s="311">
        <v>3626</v>
      </c>
      <c r="L47" s="311">
        <v>6059</v>
      </c>
      <c r="M47" s="311">
        <v>1032</v>
      </c>
      <c r="N47" s="311">
        <v>3708</v>
      </c>
      <c r="O47" s="311">
        <v>6625</v>
      </c>
      <c r="P47" s="311">
        <v>2226</v>
      </c>
      <c r="Q47" s="311">
        <v>887</v>
      </c>
      <c r="R47" s="311">
        <v>1688</v>
      </c>
      <c r="S47" s="311">
        <v>1274</v>
      </c>
      <c r="T47" s="307">
        <v>391</v>
      </c>
      <c r="U47" s="312" t="s">
        <v>11</v>
      </c>
      <c r="V47" s="514"/>
    </row>
    <row r="48" spans="1:22" s="309" customFormat="1" ht="11.85" customHeight="1">
      <c r="A48" s="519"/>
      <c r="B48" s="310" t="s">
        <v>12</v>
      </c>
      <c r="C48" s="311">
        <v>51271</v>
      </c>
      <c r="D48" s="311">
        <v>1870</v>
      </c>
      <c r="E48" s="311">
        <v>3687</v>
      </c>
      <c r="F48" s="311">
        <v>1220</v>
      </c>
      <c r="G48" s="311">
        <v>331</v>
      </c>
      <c r="H48" s="311">
        <v>145</v>
      </c>
      <c r="I48" s="311">
        <v>304</v>
      </c>
      <c r="J48" s="311">
        <v>34973</v>
      </c>
      <c r="K48" s="311">
        <v>66</v>
      </c>
      <c r="L48" s="311">
        <v>1713</v>
      </c>
      <c r="M48" s="311">
        <v>262</v>
      </c>
      <c r="N48" s="311">
        <v>278</v>
      </c>
      <c r="O48" s="311">
        <v>398</v>
      </c>
      <c r="P48" s="311">
        <v>186</v>
      </c>
      <c r="Q48" s="311">
        <v>343</v>
      </c>
      <c r="R48" s="311">
        <v>2682</v>
      </c>
      <c r="S48" s="311">
        <v>2605</v>
      </c>
      <c r="T48" s="307">
        <v>208</v>
      </c>
      <c r="U48" s="312" t="s">
        <v>12</v>
      </c>
      <c r="V48" s="514"/>
    </row>
    <row r="49" spans="1:22" s="309" customFormat="1" ht="11.85" customHeight="1">
      <c r="A49" s="519"/>
      <c r="B49" s="310" t="s">
        <v>167</v>
      </c>
      <c r="C49" s="311">
        <v>27047</v>
      </c>
      <c r="D49" s="311">
        <v>2361</v>
      </c>
      <c r="E49" s="311">
        <v>394</v>
      </c>
      <c r="F49" s="311">
        <v>296</v>
      </c>
      <c r="G49" s="311">
        <v>444</v>
      </c>
      <c r="H49" s="311">
        <v>307</v>
      </c>
      <c r="I49" s="311">
        <v>3663</v>
      </c>
      <c r="J49" s="311">
        <v>135</v>
      </c>
      <c r="K49" s="311">
        <v>10812</v>
      </c>
      <c r="L49" s="311">
        <v>2534</v>
      </c>
      <c r="M49" s="311">
        <v>316</v>
      </c>
      <c r="N49" s="311">
        <v>1672</v>
      </c>
      <c r="O49" s="311">
        <v>2202</v>
      </c>
      <c r="P49" s="311">
        <v>564</v>
      </c>
      <c r="Q49" s="311">
        <v>338</v>
      </c>
      <c r="R49" s="311">
        <v>425</v>
      </c>
      <c r="S49" s="311">
        <v>398</v>
      </c>
      <c r="T49" s="307">
        <v>186</v>
      </c>
      <c r="U49" s="312" t="s">
        <v>12</v>
      </c>
      <c r="V49" s="514"/>
    </row>
    <row r="50" spans="1:22" s="309" customFormat="1" ht="11.85" customHeight="1">
      <c r="A50" s="519"/>
      <c r="B50" s="310" t="s">
        <v>13</v>
      </c>
      <c r="C50" s="311">
        <v>785294</v>
      </c>
      <c r="D50" s="311">
        <v>138019</v>
      </c>
      <c r="E50" s="311">
        <v>6764</v>
      </c>
      <c r="F50" s="311">
        <v>5250</v>
      </c>
      <c r="G50" s="311">
        <v>26764</v>
      </c>
      <c r="H50" s="311">
        <v>4153</v>
      </c>
      <c r="I50" s="311">
        <v>6340</v>
      </c>
      <c r="J50" s="311">
        <v>2483</v>
      </c>
      <c r="K50" s="311">
        <v>2519</v>
      </c>
      <c r="L50" s="311">
        <v>527530</v>
      </c>
      <c r="M50" s="311">
        <v>11803</v>
      </c>
      <c r="N50" s="311">
        <v>8580</v>
      </c>
      <c r="O50" s="311">
        <v>14798</v>
      </c>
      <c r="P50" s="311">
        <v>6517</v>
      </c>
      <c r="Q50" s="311">
        <v>5411</v>
      </c>
      <c r="R50" s="311">
        <v>7618</v>
      </c>
      <c r="S50" s="311">
        <v>6845</v>
      </c>
      <c r="T50" s="307">
        <v>3900</v>
      </c>
      <c r="U50" s="312" t="s">
        <v>13</v>
      </c>
      <c r="V50" s="514"/>
    </row>
    <row r="51" spans="1:22" s="309" customFormat="1" ht="11.85" customHeight="1">
      <c r="A51" s="519"/>
      <c r="B51" s="310" t="s">
        <v>14</v>
      </c>
      <c r="C51" s="311">
        <v>86606</v>
      </c>
      <c r="D51" s="311">
        <v>7924</v>
      </c>
      <c r="E51" s="311">
        <v>750</v>
      </c>
      <c r="F51" s="311">
        <v>708</v>
      </c>
      <c r="G51" s="311">
        <v>1903</v>
      </c>
      <c r="H51" s="311">
        <v>337</v>
      </c>
      <c r="I51" s="311">
        <v>875</v>
      </c>
      <c r="J51" s="311">
        <v>329</v>
      </c>
      <c r="K51" s="311">
        <v>264</v>
      </c>
      <c r="L51" s="311">
        <v>11821</v>
      </c>
      <c r="M51" s="311">
        <v>55330</v>
      </c>
      <c r="N51" s="311">
        <v>1690</v>
      </c>
      <c r="O51" s="311">
        <v>1162</v>
      </c>
      <c r="P51" s="311">
        <v>520</v>
      </c>
      <c r="Q51" s="311">
        <v>458</v>
      </c>
      <c r="R51" s="311">
        <v>1349</v>
      </c>
      <c r="S51" s="311">
        <v>863</v>
      </c>
      <c r="T51" s="307">
        <v>323</v>
      </c>
      <c r="U51" s="312" t="s">
        <v>14</v>
      </c>
      <c r="V51" s="514"/>
    </row>
    <row r="52" spans="1:22" s="309" customFormat="1" ht="11.85" customHeight="1">
      <c r="A52" s="519"/>
      <c r="B52" s="310" t="s">
        <v>15</v>
      </c>
      <c r="C52" s="311">
        <v>93285</v>
      </c>
      <c r="D52" s="311">
        <v>5679</v>
      </c>
      <c r="E52" s="311">
        <v>859</v>
      </c>
      <c r="F52" s="311">
        <v>908</v>
      </c>
      <c r="G52" s="311">
        <v>1682</v>
      </c>
      <c r="H52" s="311">
        <v>516</v>
      </c>
      <c r="I52" s="311">
        <v>4184</v>
      </c>
      <c r="J52" s="311">
        <v>380</v>
      </c>
      <c r="K52" s="311">
        <v>2072</v>
      </c>
      <c r="L52" s="311">
        <v>9891</v>
      </c>
      <c r="M52" s="311">
        <v>1958</v>
      </c>
      <c r="N52" s="311">
        <v>57021</v>
      </c>
      <c r="O52" s="311">
        <v>2994</v>
      </c>
      <c r="P52" s="311">
        <v>1063</v>
      </c>
      <c r="Q52" s="311">
        <v>664</v>
      </c>
      <c r="R52" s="311">
        <v>1882</v>
      </c>
      <c r="S52" s="311">
        <v>1134</v>
      </c>
      <c r="T52" s="307">
        <v>398</v>
      </c>
      <c r="U52" s="312" t="s">
        <v>15</v>
      </c>
      <c r="V52" s="514"/>
    </row>
    <row r="53" spans="1:22" s="309" customFormat="1" ht="11.85" customHeight="1">
      <c r="A53" s="519"/>
      <c r="B53" s="310" t="s">
        <v>16</v>
      </c>
      <c r="C53" s="311">
        <v>116293</v>
      </c>
      <c r="D53" s="311">
        <v>8399</v>
      </c>
      <c r="E53" s="311">
        <v>1142</v>
      </c>
      <c r="F53" s="311">
        <v>971</v>
      </c>
      <c r="G53" s="311">
        <v>3141</v>
      </c>
      <c r="H53" s="311">
        <v>868</v>
      </c>
      <c r="I53" s="311">
        <v>6141</v>
      </c>
      <c r="J53" s="311">
        <v>519</v>
      </c>
      <c r="K53" s="311">
        <v>2192</v>
      </c>
      <c r="L53" s="311">
        <v>15925</v>
      </c>
      <c r="M53" s="311">
        <v>1421</v>
      </c>
      <c r="N53" s="311">
        <v>3016</v>
      </c>
      <c r="O53" s="311">
        <v>65044</v>
      </c>
      <c r="P53" s="311">
        <v>2516</v>
      </c>
      <c r="Q53" s="311">
        <v>1252</v>
      </c>
      <c r="R53" s="311">
        <v>1652</v>
      </c>
      <c r="S53" s="311">
        <v>1520</v>
      </c>
      <c r="T53" s="307">
        <v>574</v>
      </c>
      <c r="U53" s="312" t="s">
        <v>16</v>
      </c>
      <c r="V53" s="514"/>
    </row>
    <row r="54" spans="1:22" s="309" customFormat="1" ht="11.85" customHeight="1">
      <c r="A54" s="519"/>
      <c r="B54" s="310" t="s">
        <v>17</v>
      </c>
      <c r="C54" s="311">
        <v>93874</v>
      </c>
      <c r="D54" s="311">
        <v>4835</v>
      </c>
      <c r="E54" s="311">
        <v>655</v>
      </c>
      <c r="F54" s="311">
        <v>413</v>
      </c>
      <c r="G54" s="311">
        <v>1194</v>
      </c>
      <c r="H54" s="311">
        <v>2764</v>
      </c>
      <c r="I54" s="311">
        <v>1713</v>
      </c>
      <c r="J54" s="311">
        <v>209</v>
      </c>
      <c r="K54" s="311">
        <v>469</v>
      </c>
      <c r="L54" s="311">
        <v>5927</v>
      </c>
      <c r="M54" s="311">
        <v>524</v>
      </c>
      <c r="N54" s="311">
        <v>844</v>
      </c>
      <c r="O54" s="311">
        <v>2347</v>
      </c>
      <c r="P54" s="311">
        <v>67992</v>
      </c>
      <c r="Q54" s="311">
        <v>2250</v>
      </c>
      <c r="R54" s="311">
        <v>525</v>
      </c>
      <c r="S54" s="311">
        <v>828</v>
      </c>
      <c r="T54" s="307">
        <v>385</v>
      </c>
      <c r="U54" s="312" t="s">
        <v>17</v>
      </c>
      <c r="V54" s="514"/>
    </row>
    <row r="55" spans="1:22" s="309" customFormat="1" ht="11.85" customHeight="1">
      <c r="A55" s="519"/>
      <c r="B55" s="310" t="s">
        <v>18</v>
      </c>
      <c r="C55" s="311">
        <v>87909</v>
      </c>
      <c r="D55" s="311">
        <v>4131</v>
      </c>
      <c r="E55" s="311">
        <v>1157</v>
      </c>
      <c r="F55" s="311">
        <v>359</v>
      </c>
      <c r="G55" s="311">
        <v>1156</v>
      </c>
      <c r="H55" s="311">
        <v>14075</v>
      </c>
      <c r="I55" s="311">
        <v>641</v>
      </c>
      <c r="J55" s="311">
        <v>271</v>
      </c>
      <c r="K55" s="311">
        <v>215</v>
      </c>
      <c r="L55" s="311">
        <v>5042</v>
      </c>
      <c r="M55" s="311">
        <v>426</v>
      </c>
      <c r="N55" s="311">
        <v>475</v>
      </c>
      <c r="O55" s="311">
        <v>963</v>
      </c>
      <c r="P55" s="311">
        <v>1985</v>
      </c>
      <c r="Q55" s="311">
        <v>54301</v>
      </c>
      <c r="R55" s="311">
        <v>596</v>
      </c>
      <c r="S55" s="311">
        <v>1588</v>
      </c>
      <c r="T55" s="307">
        <v>528</v>
      </c>
      <c r="U55" s="312" t="s">
        <v>18</v>
      </c>
      <c r="V55" s="514"/>
    </row>
    <row r="56" spans="1:22" s="309" customFormat="1" ht="11.85" customHeight="1">
      <c r="A56" s="519"/>
      <c r="B56" s="310" t="s">
        <v>19</v>
      </c>
      <c r="C56" s="311">
        <v>120272</v>
      </c>
      <c r="D56" s="311">
        <v>5191</v>
      </c>
      <c r="E56" s="311">
        <v>3797</v>
      </c>
      <c r="F56" s="311">
        <v>15480</v>
      </c>
      <c r="G56" s="311">
        <v>1395</v>
      </c>
      <c r="H56" s="311">
        <v>365</v>
      </c>
      <c r="I56" s="311">
        <v>1258</v>
      </c>
      <c r="J56" s="311">
        <v>3415</v>
      </c>
      <c r="K56" s="311">
        <v>370</v>
      </c>
      <c r="L56" s="311">
        <v>6834</v>
      </c>
      <c r="M56" s="311">
        <v>1376</v>
      </c>
      <c r="N56" s="311">
        <v>1437</v>
      </c>
      <c r="O56" s="311">
        <v>1254</v>
      </c>
      <c r="P56" s="311">
        <v>567</v>
      </c>
      <c r="Q56" s="311">
        <v>687</v>
      </c>
      <c r="R56" s="311">
        <v>72619</v>
      </c>
      <c r="S56" s="311">
        <v>3674</v>
      </c>
      <c r="T56" s="307">
        <v>553</v>
      </c>
      <c r="U56" s="312" t="s">
        <v>19</v>
      </c>
      <c r="V56" s="514"/>
    </row>
    <row r="57" spans="1:22" s="309" customFormat="1" ht="11.85" customHeight="1">
      <c r="A57" s="519"/>
      <c r="B57" s="310" t="s">
        <v>20</v>
      </c>
      <c r="C57" s="311">
        <v>152202</v>
      </c>
      <c r="D57" s="311">
        <v>5406</v>
      </c>
      <c r="E57" s="311">
        <v>20020</v>
      </c>
      <c r="F57" s="311">
        <v>3298</v>
      </c>
      <c r="G57" s="311">
        <v>1144</v>
      </c>
      <c r="H57" s="311">
        <v>534</v>
      </c>
      <c r="I57" s="311">
        <v>986</v>
      </c>
      <c r="J57" s="311">
        <v>2963</v>
      </c>
      <c r="K57" s="311">
        <v>337</v>
      </c>
      <c r="L57" s="311">
        <v>5543</v>
      </c>
      <c r="M57" s="311">
        <v>858</v>
      </c>
      <c r="N57" s="311">
        <v>835</v>
      </c>
      <c r="O57" s="311">
        <v>1200</v>
      </c>
      <c r="P57" s="311">
        <v>777</v>
      </c>
      <c r="Q57" s="311">
        <v>1455</v>
      </c>
      <c r="R57" s="311">
        <v>3415</v>
      </c>
      <c r="S57" s="311">
        <v>102572</v>
      </c>
      <c r="T57" s="307">
        <v>859</v>
      </c>
      <c r="U57" s="312" t="s">
        <v>20</v>
      </c>
      <c r="V57" s="514"/>
    </row>
    <row r="58" spans="1:22" s="309" customFormat="1" ht="11.45" customHeight="1">
      <c r="A58" s="519"/>
      <c r="B58" s="310" t="s">
        <v>21</v>
      </c>
      <c r="C58" s="311">
        <v>38103</v>
      </c>
      <c r="D58" s="311">
        <v>3610</v>
      </c>
      <c r="E58" s="311">
        <v>965</v>
      </c>
      <c r="F58" s="311">
        <v>492</v>
      </c>
      <c r="G58" s="311">
        <v>824</v>
      </c>
      <c r="H58" s="311">
        <v>412</v>
      </c>
      <c r="I58" s="311">
        <v>303</v>
      </c>
      <c r="J58" s="311">
        <v>213</v>
      </c>
      <c r="K58" s="311">
        <v>141</v>
      </c>
      <c r="L58" s="311">
        <v>3718</v>
      </c>
      <c r="M58" s="311">
        <v>271</v>
      </c>
      <c r="N58" s="311">
        <v>311</v>
      </c>
      <c r="O58" s="311">
        <v>451</v>
      </c>
      <c r="P58" s="311">
        <v>361</v>
      </c>
      <c r="Q58" s="311">
        <v>398</v>
      </c>
      <c r="R58" s="311">
        <v>474</v>
      </c>
      <c r="S58" s="311">
        <v>747</v>
      </c>
      <c r="T58" s="307">
        <v>24412</v>
      </c>
      <c r="U58" s="312" t="s">
        <v>21</v>
      </c>
      <c r="V58" s="514"/>
    </row>
    <row r="59" spans="1:22" s="212" customFormat="1" ht="7.5" customHeight="1" thickBot="1">
      <c r="A59" s="521"/>
      <c r="B59" s="218"/>
      <c r="C59" s="219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20"/>
      <c r="V59" s="516"/>
    </row>
  </sheetData>
  <mergeCells count="7">
    <mergeCell ref="L1:U1"/>
    <mergeCell ref="V4:V22"/>
    <mergeCell ref="V23:V40"/>
    <mergeCell ref="V41:V59"/>
    <mergeCell ref="A4:A22"/>
    <mergeCell ref="A23:A40"/>
    <mergeCell ref="A41:A59"/>
  </mergeCells>
  <phoneticPr fontId="2" type="noConversion"/>
  <printOptions horizontalCentered="1"/>
  <pageMargins left="0.78740157480314965" right="0.78740157480314965" top="0.78740157480314965" bottom="0.47244094488188981" header="0.51181102362204722" footer="1.0629921259842521"/>
  <pageSetup paperSize="9" scale="95" firstPageNumber="22" orientation="portrait" horizontalDpi="1200" verticalDpi="1200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V59"/>
  <sheetViews>
    <sheetView showGridLines="0" view="pageBreakPreview" zoomScaleNormal="100" zoomScaleSheetLayoutView="100" workbookViewId="0"/>
  </sheetViews>
  <sheetFormatPr defaultRowHeight="13.5"/>
  <cols>
    <col min="1" max="1" width="4.625" customWidth="1"/>
    <col min="2" max="2" width="9.125" style="1" customWidth="1"/>
    <col min="3" max="4" width="10.625" customWidth="1"/>
    <col min="5" max="11" width="8.125" customWidth="1"/>
    <col min="12" max="12" width="10.625" customWidth="1"/>
    <col min="13" max="20" width="8.375" customWidth="1"/>
    <col min="21" max="21" width="9.125" style="1" customWidth="1"/>
    <col min="22" max="22" width="4.625" customWidth="1"/>
  </cols>
  <sheetData>
    <row r="1" spans="1:22" s="2" customFormat="1" ht="18.75">
      <c r="A1" s="92" t="str">
        <f>"7. 시도 전입·전출지 및 성별 순이동자 수, "&amp;표지!G5</f>
        <v>7. 시도 전입·전출지 및 성별 순이동자 수, 2025</v>
      </c>
      <c r="C1" s="67"/>
      <c r="D1" s="67"/>
      <c r="E1" s="67"/>
      <c r="F1" s="67"/>
      <c r="G1" s="67"/>
      <c r="H1" s="67"/>
      <c r="I1" s="67"/>
      <c r="J1" s="67"/>
      <c r="K1" s="67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67"/>
    </row>
    <row r="2" spans="1:22" s="4" customFormat="1" ht="15" customHeight="1" thickBot="1">
      <c r="B2" s="5"/>
      <c r="J2" s="16"/>
      <c r="K2" s="16"/>
      <c r="V2" s="16" t="s">
        <v>153</v>
      </c>
    </row>
    <row r="3" spans="1:22" s="212" customFormat="1" ht="25.5" customHeight="1">
      <c r="A3" s="207" t="s">
        <v>145</v>
      </c>
      <c r="B3" s="208" t="s">
        <v>151</v>
      </c>
      <c r="C3" s="207" t="s">
        <v>146</v>
      </c>
      <c r="D3" s="209" t="s">
        <v>6</v>
      </c>
      <c r="E3" s="209" t="s">
        <v>7</v>
      </c>
      <c r="F3" s="209" t="s">
        <v>8</v>
      </c>
      <c r="G3" s="209" t="s">
        <v>9</v>
      </c>
      <c r="H3" s="209" t="s">
        <v>10</v>
      </c>
      <c r="I3" s="209" t="s">
        <v>11</v>
      </c>
      <c r="J3" s="210" t="s">
        <v>12</v>
      </c>
      <c r="K3" s="210" t="s">
        <v>147</v>
      </c>
      <c r="L3" s="207" t="s">
        <v>13</v>
      </c>
      <c r="M3" s="207" t="s">
        <v>14</v>
      </c>
      <c r="N3" s="209" t="s">
        <v>15</v>
      </c>
      <c r="O3" s="209" t="s">
        <v>16</v>
      </c>
      <c r="P3" s="209" t="s">
        <v>17</v>
      </c>
      <c r="Q3" s="209" t="s">
        <v>18</v>
      </c>
      <c r="R3" s="209" t="s">
        <v>19</v>
      </c>
      <c r="S3" s="209" t="s">
        <v>20</v>
      </c>
      <c r="T3" s="210" t="s">
        <v>21</v>
      </c>
      <c r="U3" s="211" t="s">
        <v>148</v>
      </c>
      <c r="V3" s="210" t="s">
        <v>145</v>
      </c>
    </row>
    <row r="4" spans="1:22" s="212" customFormat="1" ht="7.5" customHeight="1">
      <c r="A4" s="517" t="s">
        <v>149</v>
      </c>
      <c r="B4" s="213"/>
      <c r="C4" s="214"/>
      <c r="D4" s="214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6"/>
      <c r="V4" s="512" t="s">
        <v>149</v>
      </c>
    </row>
    <row r="5" spans="1:22" s="217" customFormat="1" ht="11.85" customHeight="1">
      <c r="A5" s="517"/>
      <c r="B5" s="306" t="s">
        <v>5</v>
      </c>
      <c r="C5" s="326">
        <v>0</v>
      </c>
      <c r="D5" s="326">
        <v>26769</v>
      </c>
      <c r="E5" s="326">
        <v>12181</v>
      </c>
      <c r="F5" s="326">
        <v>4272</v>
      </c>
      <c r="G5" s="326">
        <v>-32264</v>
      </c>
      <c r="H5" s="326">
        <v>13678</v>
      </c>
      <c r="I5" s="326">
        <v>-2824</v>
      </c>
      <c r="J5" s="326">
        <v>5474</v>
      </c>
      <c r="K5" s="326">
        <v>47</v>
      </c>
      <c r="L5" s="326">
        <v>-32970</v>
      </c>
      <c r="M5" s="326">
        <v>1387</v>
      </c>
      <c r="N5" s="326">
        <v>-10789</v>
      </c>
      <c r="O5" s="326">
        <v>-8266</v>
      </c>
      <c r="P5" s="326">
        <v>3575</v>
      </c>
      <c r="Q5" s="326">
        <v>-1334</v>
      </c>
      <c r="R5" s="326">
        <v>9214</v>
      </c>
      <c r="S5" s="326">
        <v>7577</v>
      </c>
      <c r="T5" s="326">
        <v>4273</v>
      </c>
      <c r="U5" s="308" t="s">
        <v>5</v>
      </c>
      <c r="V5" s="512"/>
    </row>
    <row r="6" spans="1:22" s="217" customFormat="1" ht="11.85" customHeight="1">
      <c r="A6" s="517"/>
      <c r="B6" s="306" t="s">
        <v>6</v>
      </c>
      <c r="C6" s="326">
        <v>-26769</v>
      </c>
      <c r="D6" s="326">
        <v>0</v>
      </c>
      <c r="E6" s="326">
        <v>5493</v>
      </c>
      <c r="F6" s="326">
        <v>4711</v>
      </c>
      <c r="G6" s="326">
        <v>-12472</v>
      </c>
      <c r="H6" s="326">
        <v>3396</v>
      </c>
      <c r="I6" s="326">
        <v>1526</v>
      </c>
      <c r="J6" s="326">
        <v>1490</v>
      </c>
      <c r="K6" s="326">
        <v>461</v>
      </c>
      <c r="L6" s="326">
        <v>-41199</v>
      </c>
      <c r="M6" s="326">
        <v>121</v>
      </c>
      <c r="N6" s="326">
        <v>-21</v>
      </c>
      <c r="O6" s="326">
        <v>49</v>
      </c>
      <c r="P6" s="326">
        <v>1375</v>
      </c>
      <c r="Q6" s="326">
        <v>843</v>
      </c>
      <c r="R6" s="326">
        <v>2435</v>
      </c>
      <c r="S6" s="326">
        <v>3836</v>
      </c>
      <c r="T6" s="326">
        <v>1187</v>
      </c>
      <c r="U6" s="308" t="s">
        <v>6</v>
      </c>
      <c r="V6" s="512"/>
    </row>
    <row r="7" spans="1:22" s="217" customFormat="1" ht="11.85" customHeight="1">
      <c r="A7" s="517"/>
      <c r="B7" s="310" t="s">
        <v>7</v>
      </c>
      <c r="C7" s="327">
        <v>-12181</v>
      </c>
      <c r="D7" s="327">
        <v>-5493</v>
      </c>
      <c r="E7" s="327">
        <v>0</v>
      </c>
      <c r="F7" s="327">
        <v>55</v>
      </c>
      <c r="G7" s="327">
        <v>-1074</v>
      </c>
      <c r="H7" s="327">
        <v>211</v>
      </c>
      <c r="I7" s="327">
        <v>-501</v>
      </c>
      <c r="J7" s="327">
        <v>660</v>
      </c>
      <c r="K7" s="327">
        <v>265</v>
      </c>
      <c r="L7" s="327">
        <v>-3241</v>
      </c>
      <c r="M7" s="327">
        <v>33</v>
      </c>
      <c r="N7" s="327">
        <v>-438</v>
      </c>
      <c r="O7" s="327">
        <v>-543</v>
      </c>
      <c r="P7" s="327">
        <v>-155</v>
      </c>
      <c r="Q7" s="327">
        <v>156</v>
      </c>
      <c r="R7" s="327">
        <v>-199</v>
      </c>
      <c r="S7" s="327">
        <v>-2421</v>
      </c>
      <c r="T7" s="326">
        <v>504</v>
      </c>
      <c r="U7" s="312" t="s">
        <v>7</v>
      </c>
      <c r="V7" s="512"/>
    </row>
    <row r="8" spans="1:22" s="217" customFormat="1" ht="11.85" customHeight="1">
      <c r="A8" s="517"/>
      <c r="B8" s="310" t="s">
        <v>8</v>
      </c>
      <c r="C8" s="327">
        <v>-4272</v>
      </c>
      <c r="D8" s="327">
        <v>-4711</v>
      </c>
      <c r="E8" s="327">
        <v>-55</v>
      </c>
      <c r="F8" s="327">
        <v>0</v>
      </c>
      <c r="G8" s="327">
        <v>-676</v>
      </c>
      <c r="H8" s="327">
        <v>60</v>
      </c>
      <c r="I8" s="327">
        <v>-497</v>
      </c>
      <c r="J8" s="327">
        <v>124</v>
      </c>
      <c r="K8" s="327">
        <v>-11</v>
      </c>
      <c r="L8" s="327">
        <v>-2849</v>
      </c>
      <c r="M8" s="327">
        <v>-74</v>
      </c>
      <c r="N8" s="327">
        <v>-382</v>
      </c>
      <c r="O8" s="327">
        <v>-425</v>
      </c>
      <c r="P8" s="327">
        <v>84</v>
      </c>
      <c r="Q8" s="327">
        <v>11</v>
      </c>
      <c r="R8" s="327">
        <v>4334</v>
      </c>
      <c r="S8" s="327">
        <v>623</v>
      </c>
      <c r="T8" s="326">
        <v>172</v>
      </c>
      <c r="U8" s="312" t="s">
        <v>8</v>
      </c>
      <c r="V8" s="512"/>
    </row>
    <row r="9" spans="1:22" s="217" customFormat="1" ht="11.85" customHeight="1">
      <c r="A9" s="517"/>
      <c r="B9" s="310" t="s">
        <v>9</v>
      </c>
      <c r="C9" s="327">
        <v>32264</v>
      </c>
      <c r="D9" s="327">
        <v>12472</v>
      </c>
      <c r="E9" s="327">
        <v>1074</v>
      </c>
      <c r="F9" s="327">
        <v>676</v>
      </c>
      <c r="G9" s="327">
        <v>0</v>
      </c>
      <c r="H9" s="327">
        <v>594</v>
      </c>
      <c r="I9" s="327">
        <v>173</v>
      </c>
      <c r="J9" s="327">
        <v>198</v>
      </c>
      <c r="K9" s="327">
        <v>-56</v>
      </c>
      <c r="L9" s="327">
        <v>15509</v>
      </c>
      <c r="M9" s="327">
        <v>432</v>
      </c>
      <c r="N9" s="327">
        <v>-279</v>
      </c>
      <c r="O9" s="327">
        <v>-680</v>
      </c>
      <c r="P9" s="327">
        <v>498</v>
      </c>
      <c r="Q9" s="327">
        <v>232</v>
      </c>
      <c r="R9" s="327">
        <v>356</v>
      </c>
      <c r="S9" s="327">
        <v>641</v>
      </c>
      <c r="T9" s="326">
        <v>424</v>
      </c>
      <c r="U9" s="312" t="s">
        <v>9</v>
      </c>
      <c r="V9" s="512"/>
    </row>
    <row r="10" spans="1:22" s="217" customFormat="1" ht="11.85" customHeight="1">
      <c r="A10" s="517"/>
      <c r="B10" s="310" t="s">
        <v>10</v>
      </c>
      <c r="C10" s="327">
        <v>-13678</v>
      </c>
      <c r="D10" s="327">
        <v>-3396</v>
      </c>
      <c r="E10" s="327">
        <v>-211</v>
      </c>
      <c r="F10" s="327">
        <v>-60</v>
      </c>
      <c r="G10" s="327">
        <v>-594</v>
      </c>
      <c r="H10" s="327">
        <v>0</v>
      </c>
      <c r="I10" s="327">
        <v>-556</v>
      </c>
      <c r="J10" s="327">
        <v>-53</v>
      </c>
      <c r="K10" s="327">
        <v>-168</v>
      </c>
      <c r="L10" s="327">
        <v>-2310</v>
      </c>
      <c r="M10" s="327">
        <v>-76</v>
      </c>
      <c r="N10" s="327">
        <v>-476</v>
      </c>
      <c r="O10" s="327">
        <v>-651</v>
      </c>
      <c r="P10" s="327">
        <v>-569</v>
      </c>
      <c r="Q10" s="327">
        <v>-4440</v>
      </c>
      <c r="R10" s="327">
        <v>-85</v>
      </c>
      <c r="S10" s="327">
        <v>-14</v>
      </c>
      <c r="T10" s="326">
        <v>-19</v>
      </c>
      <c r="U10" s="312" t="s">
        <v>10</v>
      </c>
      <c r="V10" s="512"/>
    </row>
    <row r="11" spans="1:22" s="217" customFormat="1" ht="11.85" customHeight="1">
      <c r="A11" s="517"/>
      <c r="B11" s="310" t="s">
        <v>11</v>
      </c>
      <c r="C11" s="327">
        <v>2824</v>
      </c>
      <c r="D11" s="327">
        <v>-1526</v>
      </c>
      <c r="E11" s="327">
        <v>501</v>
      </c>
      <c r="F11" s="327">
        <v>497</v>
      </c>
      <c r="G11" s="327">
        <v>-173</v>
      </c>
      <c r="H11" s="327">
        <v>556</v>
      </c>
      <c r="I11" s="327">
        <v>0</v>
      </c>
      <c r="J11" s="327">
        <v>145</v>
      </c>
      <c r="K11" s="327">
        <v>-307</v>
      </c>
      <c r="L11" s="327">
        <v>-303</v>
      </c>
      <c r="M11" s="327">
        <v>412</v>
      </c>
      <c r="N11" s="327">
        <v>-962</v>
      </c>
      <c r="O11" s="327">
        <v>794</v>
      </c>
      <c r="P11" s="327">
        <v>988</v>
      </c>
      <c r="Q11" s="327">
        <v>448</v>
      </c>
      <c r="R11" s="327">
        <v>873</v>
      </c>
      <c r="S11" s="327">
        <v>697</v>
      </c>
      <c r="T11" s="326">
        <v>184</v>
      </c>
      <c r="U11" s="312" t="s">
        <v>11</v>
      </c>
      <c r="V11" s="512"/>
    </row>
    <row r="12" spans="1:22" s="217" customFormat="1" ht="11.85" customHeight="1">
      <c r="A12" s="517"/>
      <c r="B12" s="310" t="s">
        <v>12</v>
      </c>
      <c r="C12" s="327">
        <v>-5474</v>
      </c>
      <c r="D12" s="327">
        <v>-1490</v>
      </c>
      <c r="E12" s="327">
        <v>-660</v>
      </c>
      <c r="F12" s="327">
        <v>-124</v>
      </c>
      <c r="G12" s="327">
        <v>-198</v>
      </c>
      <c r="H12" s="327">
        <v>53</v>
      </c>
      <c r="I12" s="327">
        <v>-145</v>
      </c>
      <c r="J12" s="327">
        <v>0</v>
      </c>
      <c r="K12" s="327">
        <v>-108</v>
      </c>
      <c r="L12" s="327">
        <v>-1284</v>
      </c>
      <c r="M12" s="327">
        <v>-61</v>
      </c>
      <c r="N12" s="327">
        <v>-280</v>
      </c>
      <c r="O12" s="327">
        <v>-132</v>
      </c>
      <c r="P12" s="327">
        <v>12</v>
      </c>
      <c r="Q12" s="327">
        <v>269</v>
      </c>
      <c r="R12" s="327">
        <v>-1056</v>
      </c>
      <c r="S12" s="327">
        <v>-260</v>
      </c>
      <c r="T12" s="326">
        <v>-10</v>
      </c>
      <c r="U12" s="312" t="s">
        <v>12</v>
      </c>
      <c r="V12" s="512"/>
    </row>
    <row r="13" spans="1:22" s="217" customFormat="1" ht="11.85" customHeight="1">
      <c r="A13" s="517"/>
      <c r="B13" s="310" t="s">
        <v>167</v>
      </c>
      <c r="C13" s="327">
        <v>-47</v>
      </c>
      <c r="D13" s="327">
        <v>-461</v>
      </c>
      <c r="E13" s="327">
        <v>-265</v>
      </c>
      <c r="F13" s="327">
        <v>11</v>
      </c>
      <c r="G13" s="327">
        <v>56</v>
      </c>
      <c r="H13" s="327">
        <v>168</v>
      </c>
      <c r="I13" s="327">
        <v>307</v>
      </c>
      <c r="J13" s="327">
        <v>108</v>
      </c>
      <c r="K13" s="327">
        <v>0</v>
      </c>
      <c r="L13" s="327">
        <v>130</v>
      </c>
      <c r="M13" s="327">
        <v>84</v>
      </c>
      <c r="N13" s="327">
        <v>-747</v>
      </c>
      <c r="O13" s="327">
        <v>-58</v>
      </c>
      <c r="P13" s="327">
        <v>111</v>
      </c>
      <c r="Q13" s="327">
        <v>192</v>
      </c>
      <c r="R13" s="327">
        <v>139</v>
      </c>
      <c r="S13" s="327">
        <v>76</v>
      </c>
      <c r="T13" s="326">
        <v>102</v>
      </c>
      <c r="U13" s="312" t="s">
        <v>167</v>
      </c>
      <c r="V13" s="512"/>
    </row>
    <row r="14" spans="1:22" s="217" customFormat="1" ht="11.85" customHeight="1">
      <c r="A14" s="517"/>
      <c r="B14" s="310" t="s">
        <v>13</v>
      </c>
      <c r="C14" s="327">
        <v>32970</v>
      </c>
      <c r="D14" s="327">
        <v>41199</v>
      </c>
      <c r="E14" s="327">
        <v>3241</v>
      </c>
      <c r="F14" s="327">
        <v>2849</v>
      </c>
      <c r="G14" s="327">
        <v>-15509</v>
      </c>
      <c r="H14" s="327">
        <v>2310</v>
      </c>
      <c r="I14" s="327">
        <v>303</v>
      </c>
      <c r="J14" s="327">
        <v>1284</v>
      </c>
      <c r="K14" s="327">
        <v>-130</v>
      </c>
      <c r="L14" s="327">
        <v>0</v>
      </c>
      <c r="M14" s="327">
        <v>-155</v>
      </c>
      <c r="N14" s="327">
        <v>-3924</v>
      </c>
      <c r="O14" s="327">
        <v>-3441</v>
      </c>
      <c r="P14" s="327">
        <v>860</v>
      </c>
      <c r="Q14" s="327">
        <v>-63</v>
      </c>
      <c r="R14" s="327">
        <v>1437</v>
      </c>
      <c r="S14" s="327">
        <v>2413</v>
      </c>
      <c r="T14" s="326">
        <v>296</v>
      </c>
      <c r="U14" s="312" t="s">
        <v>13</v>
      </c>
      <c r="V14" s="512"/>
    </row>
    <row r="15" spans="1:22" s="217" customFormat="1" ht="11.85" customHeight="1">
      <c r="A15" s="517"/>
      <c r="B15" s="310" t="s">
        <v>14</v>
      </c>
      <c r="C15" s="327">
        <v>-1387</v>
      </c>
      <c r="D15" s="327">
        <v>-121</v>
      </c>
      <c r="E15" s="327">
        <v>-33</v>
      </c>
      <c r="F15" s="327">
        <v>74</v>
      </c>
      <c r="G15" s="327">
        <v>-432</v>
      </c>
      <c r="H15" s="327">
        <v>76</v>
      </c>
      <c r="I15" s="327">
        <v>-412</v>
      </c>
      <c r="J15" s="327">
        <v>61</v>
      </c>
      <c r="K15" s="327">
        <v>-84</v>
      </c>
      <c r="L15" s="327">
        <v>155</v>
      </c>
      <c r="M15" s="327">
        <v>0</v>
      </c>
      <c r="N15" s="327">
        <v>-474</v>
      </c>
      <c r="O15" s="327">
        <v>-461</v>
      </c>
      <c r="P15" s="327">
        <v>-20</v>
      </c>
      <c r="Q15" s="327">
        <v>61</v>
      </c>
      <c r="R15" s="327">
        <v>32</v>
      </c>
      <c r="S15" s="327">
        <v>45</v>
      </c>
      <c r="T15" s="326">
        <v>146</v>
      </c>
      <c r="U15" s="312" t="s">
        <v>14</v>
      </c>
      <c r="V15" s="512"/>
    </row>
    <row r="16" spans="1:22" s="217" customFormat="1" ht="11.85" customHeight="1">
      <c r="A16" s="517"/>
      <c r="B16" s="310" t="s">
        <v>15</v>
      </c>
      <c r="C16" s="327">
        <v>10789</v>
      </c>
      <c r="D16" s="327">
        <v>21</v>
      </c>
      <c r="E16" s="327">
        <v>438</v>
      </c>
      <c r="F16" s="327">
        <v>382</v>
      </c>
      <c r="G16" s="327">
        <v>279</v>
      </c>
      <c r="H16" s="327">
        <v>476</v>
      </c>
      <c r="I16" s="327">
        <v>962</v>
      </c>
      <c r="J16" s="327">
        <v>280</v>
      </c>
      <c r="K16" s="327">
        <v>747</v>
      </c>
      <c r="L16" s="327">
        <v>3924</v>
      </c>
      <c r="M16" s="327">
        <v>474</v>
      </c>
      <c r="N16" s="327">
        <v>0</v>
      </c>
      <c r="O16" s="327">
        <v>34</v>
      </c>
      <c r="P16" s="327">
        <v>476</v>
      </c>
      <c r="Q16" s="327">
        <v>438</v>
      </c>
      <c r="R16" s="327">
        <v>1014</v>
      </c>
      <c r="S16" s="327">
        <v>726</v>
      </c>
      <c r="T16" s="326">
        <v>118</v>
      </c>
      <c r="U16" s="312" t="s">
        <v>15</v>
      </c>
      <c r="V16" s="512"/>
    </row>
    <row r="17" spans="1:22" s="217" customFormat="1" ht="11.85" customHeight="1">
      <c r="A17" s="517"/>
      <c r="B17" s="310" t="s">
        <v>16</v>
      </c>
      <c r="C17" s="327">
        <v>8266</v>
      </c>
      <c r="D17" s="327">
        <v>-49</v>
      </c>
      <c r="E17" s="327">
        <v>543</v>
      </c>
      <c r="F17" s="327">
        <v>425</v>
      </c>
      <c r="G17" s="327">
        <v>680</v>
      </c>
      <c r="H17" s="327">
        <v>651</v>
      </c>
      <c r="I17" s="327">
        <v>-794</v>
      </c>
      <c r="J17" s="327">
        <v>132</v>
      </c>
      <c r="K17" s="327">
        <v>58</v>
      </c>
      <c r="L17" s="327">
        <v>3441</v>
      </c>
      <c r="M17" s="327">
        <v>461</v>
      </c>
      <c r="N17" s="327">
        <v>-34</v>
      </c>
      <c r="O17" s="327">
        <v>0</v>
      </c>
      <c r="P17" s="327">
        <v>336</v>
      </c>
      <c r="Q17" s="327">
        <v>606</v>
      </c>
      <c r="R17" s="327">
        <v>943</v>
      </c>
      <c r="S17" s="327">
        <v>632</v>
      </c>
      <c r="T17" s="326">
        <v>235</v>
      </c>
      <c r="U17" s="312" t="s">
        <v>16</v>
      </c>
      <c r="V17" s="512"/>
    </row>
    <row r="18" spans="1:22" s="217" customFormat="1" ht="11.85" customHeight="1">
      <c r="A18" s="517"/>
      <c r="B18" s="310" t="s">
        <v>17</v>
      </c>
      <c r="C18" s="327">
        <v>-3575</v>
      </c>
      <c r="D18" s="327">
        <v>-1375</v>
      </c>
      <c r="E18" s="327">
        <v>155</v>
      </c>
      <c r="F18" s="327">
        <v>-84</v>
      </c>
      <c r="G18" s="327">
        <v>-498</v>
      </c>
      <c r="H18" s="327">
        <v>569</v>
      </c>
      <c r="I18" s="327">
        <v>-988</v>
      </c>
      <c r="J18" s="327">
        <v>-12</v>
      </c>
      <c r="K18" s="327">
        <v>-111</v>
      </c>
      <c r="L18" s="327">
        <v>-860</v>
      </c>
      <c r="M18" s="327">
        <v>20</v>
      </c>
      <c r="N18" s="327">
        <v>-476</v>
      </c>
      <c r="O18" s="327">
        <v>-336</v>
      </c>
      <c r="P18" s="327">
        <v>0</v>
      </c>
      <c r="Q18" s="327">
        <v>291</v>
      </c>
      <c r="R18" s="327">
        <v>-43</v>
      </c>
      <c r="S18" s="327">
        <v>51</v>
      </c>
      <c r="T18" s="326">
        <v>122</v>
      </c>
      <c r="U18" s="312" t="s">
        <v>17</v>
      </c>
      <c r="V18" s="512"/>
    </row>
    <row r="19" spans="1:22" s="217" customFormat="1" ht="11.85" customHeight="1">
      <c r="A19" s="517"/>
      <c r="B19" s="310" t="s">
        <v>18</v>
      </c>
      <c r="C19" s="327">
        <v>1334</v>
      </c>
      <c r="D19" s="327">
        <v>-843</v>
      </c>
      <c r="E19" s="327">
        <v>-156</v>
      </c>
      <c r="F19" s="327">
        <v>-11</v>
      </c>
      <c r="G19" s="327">
        <v>-232</v>
      </c>
      <c r="H19" s="327">
        <v>4440</v>
      </c>
      <c r="I19" s="327">
        <v>-448</v>
      </c>
      <c r="J19" s="327">
        <v>-269</v>
      </c>
      <c r="K19" s="327">
        <v>-192</v>
      </c>
      <c r="L19" s="327">
        <v>63</v>
      </c>
      <c r="M19" s="327">
        <v>-61</v>
      </c>
      <c r="N19" s="327">
        <v>-438</v>
      </c>
      <c r="O19" s="327">
        <v>-606</v>
      </c>
      <c r="P19" s="327">
        <v>-291</v>
      </c>
      <c r="Q19" s="327">
        <v>0</v>
      </c>
      <c r="R19" s="327">
        <v>-94</v>
      </c>
      <c r="S19" s="327">
        <v>134</v>
      </c>
      <c r="T19" s="326">
        <v>338</v>
      </c>
      <c r="U19" s="312" t="s">
        <v>18</v>
      </c>
      <c r="V19" s="512"/>
    </row>
    <row r="20" spans="1:22" s="217" customFormat="1" ht="11.85" customHeight="1">
      <c r="A20" s="517"/>
      <c r="B20" s="310" t="s">
        <v>19</v>
      </c>
      <c r="C20" s="327">
        <v>-9214</v>
      </c>
      <c r="D20" s="327">
        <v>-2435</v>
      </c>
      <c r="E20" s="327">
        <v>199</v>
      </c>
      <c r="F20" s="327">
        <v>-4334</v>
      </c>
      <c r="G20" s="327">
        <v>-356</v>
      </c>
      <c r="H20" s="327">
        <v>85</v>
      </c>
      <c r="I20" s="327">
        <v>-873</v>
      </c>
      <c r="J20" s="327">
        <v>1056</v>
      </c>
      <c r="K20" s="327">
        <v>-139</v>
      </c>
      <c r="L20" s="327">
        <v>-1437</v>
      </c>
      <c r="M20" s="327">
        <v>-32</v>
      </c>
      <c r="N20" s="327">
        <v>-1014</v>
      </c>
      <c r="O20" s="327">
        <v>-943</v>
      </c>
      <c r="P20" s="327">
        <v>43</v>
      </c>
      <c r="Q20" s="327">
        <v>94</v>
      </c>
      <c r="R20" s="327">
        <v>0</v>
      </c>
      <c r="S20" s="327">
        <v>696</v>
      </c>
      <c r="T20" s="326">
        <v>176</v>
      </c>
      <c r="U20" s="312" t="s">
        <v>19</v>
      </c>
      <c r="V20" s="512"/>
    </row>
    <row r="21" spans="1:22" s="217" customFormat="1" ht="11.85" customHeight="1">
      <c r="A21" s="517"/>
      <c r="B21" s="310" t="s">
        <v>20</v>
      </c>
      <c r="C21" s="327">
        <v>-7577</v>
      </c>
      <c r="D21" s="327">
        <v>-3836</v>
      </c>
      <c r="E21" s="327">
        <v>2421</v>
      </c>
      <c r="F21" s="327">
        <v>-623</v>
      </c>
      <c r="G21" s="327">
        <v>-641</v>
      </c>
      <c r="H21" s="327">
        <v>14</v>
      </c>
      <c r="I21" s="327">
        <v>-697</v>
      </c>
      <c r="J21" s="327">
        <v>260</v>
      </c>
      <c r="K21" s="327">
        <v>-76</v>
      </c>
      <c r="L21" s="327">
        <v>-2413</v>
      </c>
      <c r="M21" s="327">
        <v>-45</v>
      </c>
      <c r="N21" s="327">
        <v>-726</v>
      </c>
      <c r="O21" s="327">
        <v>-632</v>
      </c>
      <c r="P21" s="327">
        <v>-51</v>
      </c>
      <c r="Q21" s="327">
        <v>-134</v>
      </c>
      <c r="R21" s="327">
        <v>-696</v>
      </c>
      <c r="S21" s="327">
        <v>0</v>
      </c>
      <c r="T21" s="326">
        <v>298</v>
      </c>
      <c r="U21" s="312" t="s">
        <v>20</v>
      </c>
      <c r="V21" s="512"/>
    </row>
    <row r="22" spans="1:22" s="217" customFormat="1" ht="20.100000000000001" customHeight="1">
      <c r="A22" s="517"/>
      <c r="B22" s="310" t="s">
        <v>21</v>
      </c>
      <c r="C22" s="327">
        <v>-4273</v>
      </c>
      <c r="D22" s="327">
        <v>-1187</v>
      </c>
      <c r="E22" s="327">
        <v>-504</v>
      </c>
      <c r="F22" s="327">
        <v>-172</v>
      </c>
      <c r="G22" s="327">
        <v>-424</v>
      </c>
      <c r="H22" s="327">
        <v>19</v>
      </c>
      <c r="I22" s="327">
        <v>-184</v>
      </c>
      <c r="J22" s="327">
        <v>10</v>
      </c>
      <c r="K22" s="327">
        <v>-102</v>
      </c>
      <c r="L22" s="327">
        <v>-296</v>
      </c>
      <c r="M22" s="327">
        <v>-146</v>
      </c>
      <c r="N22" s="327">
        <v>-118</v>
      </c>
      <c r="O22" s="327">
        <v>-235</v>
      </c>
      <c r="P22" s="327">
        <v>-122</v>
      </c>
      <c r="Q22" s="327">
        <v>-338</v>
      </c>
      <c r="R22" s="327">
        <v>-176</v>
      </c>
      <c r="S22" s="327">
        <v>-298</v>
      </c>
      <c r="T22" s="326">
        <v>0</v>
      </c>
      <c r="U22" s="312" t="s">
        <v>21</v>
      </c>
      <c r="V22" s="512"/>
    </row>
    <row r="23" spans="1:22" s="217" customFormat="1" ht="20.100000000000001" customHeight="1">
      <c r="A23" s="518" t="s">
        <v>150</v>
      </c>
      <c r="B23" s="317" t="s">
        <v>5</v>
      </c>
      <c r="C23" s="330">
        <v>0</v>
      </c>
      <c r="D23" s="330">
        <v>18077</v>
      </c>
      <c r="E23" s="330">
        <v>6898</v>
      </c>
      <c r="F23" s="330">
        <v>3311</v>
      </c>
      <c r="G23" s="330">
        <v>-16410</v>
      </c>
      <c r="H23" s="330">
        <v>6814</v>
      </c>
      <c r="I23" s="330">
        <v>-1598</v>
      </c>
      <c r="J23" s="330">
        <v>1327</v>
      </c>
      <c r="K23" s="330">
        <v>-50</v>
      </c>
      <c r="L23" s="330">
        <v>-14767</v>
      </c>
      <c r="M23" s="330">
        <v>109</v>
      </c>
      <c r="N23" s="330">
        <v>-6716</v>
      </c>
      <c r="O23" s="330">
        <v>-5438</v>
      </c>
      <c r="P23" s="330">
        <v>1500</v>
      </c>
      <c r="Q23" s="330">
        <v>-1782</v>
      </c>
      <c r="R23" s="330">
        <v>3981</v>
      </c>
      <c r="S23" s="330">
        <v>2466</v>
      </c>
      <c r="T23" s="331">
        <v>2278</v>
      </c>
      <c r="U23" s="320" t="s">
        <v>5</v>
      </c>
      <c r="V23" s="513" t="s">
        <v>150</v>
      </c>
    </row>
    <row r="24" spans="1:22" s="217" customFormat="1" ht="11.85" customHeight="1">
      <c r="A24" s="519"/>
      <c r="B24" s="310" t="s">
        <v>6</v>
      </c>
      <c r="C24" s="327">
        <v>-18077</v>
      </c>
      <c r="D24" s="327">
        <v>0</v>
      </c>
      <c r="E24" s="327">
        <v>2330</v>
      </c>
      <c r="F24" s="327">
        <v>2034</v>
      </c>
      <c r="G24" s="327">
        <v>-6648</v>
      </c>
      <c r="H24" s="327">
        <v>1412</v>
      </c>
      <c r="I24" s="327">
        <v>557</v>
      </c>
      <c r="J24" s="327">
        <v>531</v>
      </c>
      <c r="K24" s="327">
        <v>218</v>
      </c>
      <c r="L24" s="327">
        <v>-21197</v>
      </c>
      <c r="M24" s="327">
        <v>-328</v>
      </c>
      <c r="N24" s="327">
        <v>-351</v>
      </c>
      <c r="O24" s="327">
        <v>-344</v>
      </c>
      <c r="P24" s="327">
        <v>481</v>
      </c>
      <c r="Q24" s="327">
        <v>142</v>
      </c>
      <c r="R24" s="327">
        <v>883</v>
      </c>
      <c r="S24" s="327">
        <v>1610</v>
      </c>
      <c r="T24" s="326">
        <v>593</v>
      </c>
      <c r="U24" s="312" t="s">
        <v>6</v>
      </c>
      <c r="V24" s="514"/>
    </row>
    <row r="25" spans="1:22" s="217" customFormat="1" ht="11.85" customHeight="1">
      <c r="A25" s="519"/>
      <c r="B25" s="310" t="s">
        <v>7</v>
      </c>
      <c r="C25" s="327">
        <v>-6898</v>
      </c>
      <c r="D25" s="327">
        <v>-2330</v>
      </c>
      <c r="E25" s="327">
        <v>0</v>
      </c>
      <c r="F25" s="327">
        <v>125</v>
      </c>
      <c r="G25" s="327">
        <v>-522</v>
      </c>
      <c r="H25" s="327">
        <v>127</v>
      </c>
      <c r="I25" s="327">
        <v>-192</v>
      </c>
      <c r="J25" s="327">
        <v>72</v>
      </c>
      <c r="K25" s="327">
        <v>139</v>
      </c>
      <c r="L25" s="327">
        <v>-1679</v>
      </c>
      <c r="M25" s="327">
        <v>2</v>
      </c>
      <c r="N25" s="327">
        <v>-262</v>
      </c>
      <c r="O25" s="327">
        <v>-318</v>
      </c>
      <c r="P25" s="327">
        <v>-86</v>
      </c>
      <c r="Q25" s="327">
        <v>4</v>
      </c>
      <c r="R25" s="327">
        <v>-111</v>
      </c>
      <c r="S25" s="327">
        <v>-2176</v>
      </c>
      <c r="T25" s="326">
        <v>309</v>
      </c>
      <c r="U25" s="312" t="s">
        <v>7</v>
      </c>
      <c r="V25" s="514"/>
    </row>
    <row r="26" spans="1:22" s="217" customFormat="1" ht="11.85" customHeight="1">
      <c r="A26" s="519"/>
      <c r="B26" s="310" t="s">
        <v>8</v>
      </c>
      <c r="C26" s="327">
        <v>-3311</v>
      </c>
      <c r="D26" s="327">
        <v>-2034</v>
      </c>
      <c r="E26" s="327">
        <v>-125</v>
      </c>
      <c r="F26" s="327">
        <v>0</v>
      </c>
      <c r="G26" s="327">
        <v>-380</v>
      </c>
      <c r="H26" s="327">
        <v>14</v>
      </c>
      <c r="I26" s="327">
        <v>-260</v>
      </c>
      <c r="J26" s="327">
        <v>-50</v>
      </c>
      <c r="K26" s="327">
        <v>-7</v>
      </c>
      <c r="L26" s="327">
        <v>-1667</v>
      </c>
      <c r="M26" s="327">
        <v>-62</v>
      </c>
      <c r="N26" s="327">
        <v>-242</v>
      </c>
      <c r="O26" s="327">
        <v>-298</v>
      </c>
      <c r="P26" s="327">
        <v>38</v>
      </c>
      <c r="Q26" s="327">
        <v>-15</v>
      </c>
      <c r="R26" s="327">
        <v>1623</v>
      </c>
      <c r="S26" s="327">
        <v>80</v>
      </c>
      <c r="T26" s="326">
        <v>74</v>
      </c>
      <c r="U26" s="312" t="s">
        <v>8</v>
      </c>
      <c r="V26" s="514"/>
    </row>
    <row r="27" spans="1:22" s="217" customFormat="1" ht="11.85" customHeight="1">
      <c r="A27" s="519"/>
      <c r="B27" s="310" t="s">
        <v>9</v>
      </c>
      <c r="C27" s="327">
        <v>16410</v>
      </c>
      <c r="D27" s="327">
        <v>6648</v>
      </c>
      <c r="E27" s="327">
        <v>522</v>
      </c>
      <c r="F27" s="327">
        <v>380</v>
      </c>
      <c r="G27" s="327">
        <v>0</v>
      </c>
      <c r="H27" s="327">
        <v>262</v>
      </c>
      <c r="I27" s="327">
        <v>36</v>
      </c>
      <c r="J27" s="327">
        <v>33</v>
      </c>
      <c r="K27" s="327">
        <v>-38</v>
      </c>
      <c r="L27" s="327">
        <v>8075</v>
      </c>
      <c r="M27" s="327">
        <v>169</v>
      </c>
      <c r="N27" s="327">
        <v>-199</v>
      </c>
      <c r="O27" s="327">
        <v>-456</v>
      </c>
      <c r="P27" s="327">
        <v>270</v>
      </c>
      <c r="Q27" s="327">
        <v>16</v>
      </c>
      <c r="R27" s="327">
        <v>130</v>
      </c>
      <c r="S27" s="327">
        <v>326</v>
      </c>
      <c r="T27" s="326">
        <v>236</v>
      </c>
      <c r="U27" s="312" t="s">
        <v>9</v>
      </c>
      <c r="V27" s="514"/>
    </row>
    <row r="28" spans="1:22" s="217" customFormat="1" ht="11.85" customHeight="1">
      <c r="A28" s="519"/>
      <c r="B28" s="310" t="s">
        <v>10</v>
      </c>
      <c r="C28" s="327">
        <v>-6814</v>
      </c>
      <c r="D28" s="327">
        <v>-1412</v>
      </c>
      <c r="E28" s="327">
        <v>-127</v>
      </c>
      <c r="F28" s="327">
        <v>-14</v>
      </c>
      <c r="G28" s="327">
        <v>-262</v>
      </c>
      <c r="H28" s="327">
        <v>0</v>
      </c>
      <c r="I28" s="327">
        <v>-264</v>
      </c>
      <c r="J28" s="327">
        <v>-56</v>
      </c>
      <c r="K28" s="327">
        <v>-80</v>
      </c>
      <c r="L28" s="327">
        <v>-1226</v>
      </c>
      <c r="M28" s="327">
        <v>-30</v>
      </c>
      <c r="N28" s="327">
        <v>-243</v>
      </c>
      <c r="O28" s="327">
        <v>-340</v>
      </c>
      <c r="P28" s="327">
        <v>-284</v>
      </c>
      <c r="Q28" s="327">
        <v>-2380</v>
      </c>
      <c r="R28" s="327">
        <v>-36</v>
      </c>
      <c r="S28" s="327">
        <v>-38</v>
      </c>
      <c r="T28" s="326">
        <v>-22</v>
      </c>
      <c r="U28" s="312" t="s">
        <v>10</v>
      </c>
      <c r="V28" s="514"/>
    </row>
    <row r="29" spans="1:22" s="217" customFormat="1" ht="11.85" customHeight="1">
      <c r="A29" s="519"/>
      <c r="B29" s="310" t="s">
        <v>11</v>
      </c>
      <c r="C29" s="327">
        <v>1598</v>
      </c>
      <c r="D29" s="327">
        <v>-557</v>
      </c>
      <c r="E29" s="327">
        <v>192</v>
      </c>
      <c r="F29" s="327">
        <v>260</v>
      </c>
      <c r="G29" s="327">
        <v>-36</v>
      </c>
      <c r="H29" s="327">
        <v>264</v>
      </c>
      <c r="I29" s="327">
        <v>0</v>
      </c>
      <c r="J29" s="327">
        <v>63</v>
      </c>
      <c r="K29" s="327">
        <v>-270</v>
      </c>
      <c r="L29" s="327">
        <v>-22</v>
      </c>
      <c r="M29" s="327">
        <v>255</v>
      </c>
      <c r="N29" s="327">
        <v>-486</v>
      </c>
      <c r="O29" s="327">
        <v>310</v>
      </c>
      <c r="P29" s="327">
        <v>475</v>
      </c>
      <c r="Q29" s="327">
        <v>202</v>
      </c>
      <c r="R29" s="327">
        <v>443</v>
      </c>
      <c r="S29" s="327">
        <v>409</v>
      </c>
      <c r="T29" s="326">
        <v>96</v>
      </c>
      <c r="U29" s="312" t="s">
        <v>11</v>
      </c>
      <c r="V29" s="514"/>
    </row>
    <row r="30" spans="1:22" s="217" customFormat="1" ht="11.85" customHeight="1">
      <c r="A30" s="519"/>
      <c r="B30" s="310" t="s">
        <v>12</v>
      </c>
      <c r="C30" s="327">
        <v>-1327</v>
      </c>
      <c r="D30" s="327">
        <v>-531</v>
      </c>
      <c r="E30" s="327">
        <v>-72</v>
      </c>
      <c r="F30" s="327">
        <v>50</v>
      </c>
      <c r="G30" s="327">
        <v>-33</v>
      </c>
      <c r="H30" s="327">
        <v>56</v>
      </c>
      <c r="I30" s="327">
        <v>-63</v>
      </c>
      <c r="J30" s="327">
        <v>0</v>
      </c>
      <c r="K30" s="327">
        <v>-39</v>
      </c>
      <c r="L30" s="327">
        <v>-514</v>
      </c>
      <c r="M30" s="327">
        <v>6</v>
      </c>
      <c r="N30" s="327">
        <v>-178</v>
      </c>
      <c r="O30" s="327">
        <v>-11</v>
      </c>
      <c r="P30" s="327">
        <v>35</v>
      </c>
      <c r="Q30" s="327">
        <v>197</v>
      </c>
      <c r="R30" s="327">
        <v>-323</v>
      </c>
      <c r="S30" s="327">
        <v>98</v>
      </c>
      <c r="T30" s="326">
        <v>-5</v>
      </c>
      <c r="U30" s="312" t="s">
        <v>12</v>
      </c>
      <c r="V30" s="514"/>
    </row>
    <row r="31" spans="1:22" s="217" customFormat="1" ht="11.85" customHeight="1">
      <c r="A31" s="519"/>
      <c r="B31" s="310" t="s">
        <v>167</v>
      </c>
      <c r="C31" s="327">
        <v>50</v>
      </c>
      <c r="D31" s="327">
        <v>-218</v>
      </c>
      <c r="E31" s="327">
        <v>-139</v>
      </c>
      <c r="F31" s="327">
        <v>7</v>
      </c>
      <c r="G31" s="327">
        <v>38</v>
      </c>
      <c r="H31" s="327">
        <v>80</v>
      </c>
      <c r="I31" s="327">
        <v>270</v>
      </c>
      <c r="J31" s="327">
        <v>39</v>
      </c>
      <c r="K31" s="327">
        <v>0</v>
      </c>
      <c r="L31" s="327">
        <v>115</v>
      </c>
      <c r="M31" s="327">
        <v>32</v>
      </c>
      <c r="N31" s="327">
        <v>-347</v>
      </c>
      <c r="O31" s="327">
        <v>-68</v>
      </c>
      <c r="P31" s="327">
        <v>16</v>
      </c>
      <c r="Q31" s="327">
        <v>69</v>
      </c>
      <c r="R31" s="327">
        <v>84</v>
      </c>
      <c r="S31" s="327">
        <v>15</v>
      </c>
      <c r="T31" s="326">
        <v>57</v>
      </c>
      <c r="U31" s="312" t="s">
        <v>167</v>
      </c>
      <c r="V31" s="514"/>
    </row>
    <row r="32" spans="1:22" s="217" customFormat="1" ht="11.85" customHeight="1">
      <c r="A32" s="519"/>
      <c r="B32" s="310" t="s">
        <v>13</v>
      </c>
      <c r="C32" s="327">
        <v>14767</v>
      </c>
      <c r="D32" s="327">
        <v>21197</v>
      </c>
      <c r="E32" s="327">
        <v>1679</v>
      </c>
      <c r="F32" s="327">
        <v>1667</v>
      </c>
      <c r="G32" s="327">
        <v>-8075</v>
      </c>
      <c r="H32" s="327">
        <v>1226</v>
      </c>
      <c r="I32" s="327">
        <v>22</v>
      </c>
      <c r="J32" s="327">
        <v>514</v>
      </c>
      <c r="K32" s="327">
        <v>-115</v>
      </c>
      <c r="L32" s="327">
        <v>0</v>
      </c>
      <c r="M32" s="327">
        <v>-137</v>
      </c>
      <c r="N32" s="327">
        <v>-2613</v>
      </c>
      <c r="O32" s="327">
        <v>-2314</v>
      </c>
      <c r="P32" s="327">
        <v>270</v>
      </c>
      <c r="Q32" s="327">
        <v>-432</v>
      </c>
      <c r="R32" s="327">
        <v>653</v>
      </c>
      <c r="S32" s="327">
        <v>1111</v>
      </c>
      <c r="T32" s="326">
        <v>114</v>
      </c>
      <c r="U32" s="312" t="s">
        <v>13</v>
      </c>
      <c r="V32" s="514"/>
    </row>
    <row r="33" spans="1:22" s="217" customFormat="1" ht="11.85" customHeight="1">
      <c r="A33" s="519"/>
      <c r="B33" s="310" t="s">
        <v>14</v>
      </c>
      <c r="C33" s="327">
        <v>-109</v>
      </c>
      <c r="D33" s="327">
        <v>328</v>
      </c>
      <c r="E33" s="327">
        <v>-2</v>
      </c>
      <c r="F33" s="327">
        <v>62</v>
      </c>
      <c r="G33" s="327">
        <v>-169</v>
      </c>
      <c r="H33" s="327">
        <v>30</v>
      </c>
      <c r="I33" s="327">
        <v>-255</v>
      </c>
      <c r="J33" s="327">
        <v>-6</v>
      </c>
      <c r="K33" s="327">
        <v>-32</v>
      </c>
      <c r="L33" s="327">
        <v>137</v>
      </c>
      <c r="M33" s="327">
        <v>0</v>
      </c>
      <c r="N33" s="327">
        <v>-206</v>
      </c>
      <c r="O33" s="327">
        <v>-202</v>
      </c>
      <c r="P33" s="327">
        <v>-16</v>
      </c>
      <c r="Q33" s="327">
        <v>29</v>
      </c>
      <c r="R33" s="327">
        <v>59</v>
      </c>
      <c r="S33" s="327">
        <v>40</v>
      </c>
      <c r="T33" s="326">
        <v>94</v>
      </c>
      <c r="U33" s="312" t="s">
        <v>14</v>
      </c>
      <c r="V33" s="514"/>
    </row>
    <row r="34" spans="1:22" s="217" customFormat="1" ht="11.85" customHeight="1">
      <c r="A34" s="519"/>
      <c r="B34" s="310" t="s">
        <v>15</v>
      </c>
      <c r="C34" s="327">
        <v>6716</v>
      </c>
      <c r="D34" s="327">
        <v>351</v>
      </c>
      <c r="E34" s="327">
        <v>262</v>
      </c>
      <c r="F34" s="327">
        <v>242</v>
      </c>
      <c r="G34" s="327">
        <v>199</v>
      </c>
      <c r="H34" s="327">
        <v>243</v>
      </c>
      <c r="I34" s="327">
        <v>486</v>
      </c>
      <c r="J34" s="327">
        <v>178</v>
      </c>
      <c r="K34" s="327">
        <v>347</v>
      </c>
      <c r="L34" s="327">
        <v>2613</v>
      </c>
      <c r="M34" s="327">
        <v>206</v>
      </c>
      <c r="N34" s="327">
        <v>0</v>
      </c>
      <c r="O34" s="327">
        <v>56</v>
      </c>
      <c r="P34" s="327">
        <v>257</v>
      </c>
      <c r="Q34" s="327">
        <v>249</v>
      </c>
      <c r="R34" s="327">
        <v>569</v>
      </c>
      <c r="S34" s="327">
        <v>427</v>
      </c>
      <c r="T34" s="326">
        <v>31</v>
      </c>
      <c r="U34" s="312" t="s">
        <v>15</v>
      </c>
      <c r="V34" s="514"/>
    </row>
    <row r="35" spans="1:22" s="217" customFormat="1" ht="11.85" customHeight="1">
      <c r="A35" s="519"/>
      <c r="B35" s="310" t="s">
        <v>16</v>
      </c>
      <c r="C35" s="327">
        <v>5438</v>
      </c>
      <c r="D35" s="327">
        <v>344</v>
      </c>
      <c r="E35" s="327">
        <v>318</v>
      </c>
      <c r="F35" s="327">
        <v>298</v>
      </c>
      <c r="G35" s="327">
        <v>456</v>
      </c>
      <c r="H35" s="327">
        <v>340</v>
      </c>
      <c r="I35" s="327">
        <v>-310</v>
      </c>
      <c r="J35" s="327">
        <v>11</v>
      </c>
      <c r="K35" s="327">
        <v>68</v>
      </c>
      <c r="L35" s="327">
        <v>2314</v>
      </c>
      <c r="M35" s="327">
        <v>202</v>
      </c>
      <c r="N35" s="327">
        <v>-56</v>
      </c>
      <c r="O35" s="327">
        <v>0</v>
      </c>
      <c r="P35" s="327">
        <v>167</v>
      </c>
      <c r="Q35" s="327">
        <v>317</v>
      </c>
      <c r="R35" s="327">
        <v>545</v>
      </c>
      <c r="S35" s="327">
        <v>312</v>
      </c>
      <c r="T35" s="326">
        <v>112</v>
      </c>
      <c r="U35" s="312" t="s">
        <v>16</v>
      </c>
      <c r="V35" s="514"/>
    </row>
    <row r="36" spans="1:22" s="217" customFormat="1" ht="11.85" customHeight="1">
      <c r="A36" s="519"/>
      <c r="B36" s="310" t="s">
        <v>17</v>
      </c>
      <c r="C36" s="327">
        <v>-1500</v>
      </c>
      <c r="D36" s="327">
        <v>-481</v>
      </c>
      <c r="E36" s="327">
        <v>86</v>
      </c>
      <c r="F36" s="327">
        <v>-38</v>
      </c>
      <c r="G36" s="327">
        <v>-270</v>
      </c>
      <c r="H36" s="327">
        <v>284</v>
      </c>
      <c r="I36" s="327">
        <v>-475</v>
      </c>
      <c r="J36" s="327">
        <v>-35</v>
      </c>
      <c r="K36" s="327">
        <v>-16</v>
      </c>
      <c r="L36" s="327">
        <v>-270</v>
      </c>
      <c r="M36" s="327">
        <v>16</v>
      </c>
      <c r="N36" s="327">
        <v>-257</v>
      </c>
      <c r="O36" s="327">
        <v>-167</v>
      </c>
      <c r="P36" s="327">
        <v>0</v>
      </c>
      <c r="Q36" s="327">
        <v>26</v>
      </c>
      <c r="R36" s="327">
        <v>-1</v>
      </c>
      <c r="S36" s="327">
        <v>0</v>
      </c>
      <c r="T36" s="326">
        <v>98</v>
      </c>
      <c r="U36" s="312" t="s">
        <v>17</v>
      </c>
      <c r="V36" s="514"/>
    </row>
    <row r="37" spans="1:22" s="217" customFormat="1" ht="11.85" customHeight="1">
      <c r="A37" s="519"/>
      <c r="B37" s="310" t="s">
        <v>18</v>
      </c>
      <c r="C37" s="327">
        <v>1782</v>
      </c>
      <c r="D37" s="327">
        <v>-142</v>
      </c>
      <c r="E37" s="327">
        <v>-4</v>
      </c>
      <c r="F37" s="327">
        <v>15</v>
      </c>
      <c r="G37" s="327">
        <v>-16</v>
      </c>
      <c r="H37" s="327">
        <v>2380</v>
      </c>
      <c r="I37" s="327">
        <v>-202</v>
      </c>
      <c r="J37" s="327">
        <v>-197</v>
      </c>
      <c r="K37" s="327">
        <v>-69</v>
      </c>
      <c r="L37" s="327">
        <v>432</v>
      </c>
      <c r="M37" s="327">
        <v>-29</v>
      </c>
      <c r="N37" s="327">
        <v>-249</v>
      </c>
      <c r="O37" s="327">
        <v>-317</v>
      </c>
      <c r="P37" s="327">
        <v>-26</v>
      </c>
      <c r="Q37" s="327">
        <v>0</v>
      </c>
      <c r="R37" s="327">
        <v>-3</v>
      </c>
      <c r="S37" s="327">
        <v>1</v>
      </c>
      <c r="T37" s="326">
        <v>208</v>
      </c>
      <c r="U37" s="312" t="s">
        <v>18</v>
      </c>
      <c r="V37" s="514"/>
    </row>
    <row r="38" spans="1:22" s="217" customFormat="1" ht="11.85" customHeight="1">
      <c r="A38" s="519"/>
      <c r="B38" s="310" t="s">
        <v>19</v>
      </c>
      <c r="C38" s="327">
        <v>-3981</v>
      </c>
      <c r="D38" s="327">
        <v>-883</v>
      </c>
      <c r="E38" s="327">
        <v>111</v>
      </c>
      <c r="F38" s="327">
        <v>-1623</v>
      </c>
      <c r="G38" s="327">
        <v>-130</v>
      </c>
      <c r="H38" s="327">
        <v>36</v>
      </c>
      <c r="I38" s="327">
        <v>-443</v>
      </c>
      <c r="J38" s="327">
        <v>323</v>
      </c>
      <c r="K38" s="327">
        <v>-84</v>
      </c>
      <c r="L38" s="327">
        <v>-653</v>
      </c>
      <c r="M38" s="327">
        <v>-59</v>
      </c>
      <c r="N38" s="327">
        <v>-569</v>
      </c>
      <c r="O38" s="327">
        <v>-545</v>
      </c>
      <c r="P38" s="327">
        <v>1</v>
      </c>
      <c r="Q38" s="327">
        <v>3</v>
      </c>
      <c r="R38" s="327">
        <v>0</v>
      </c>
      <c r="S38" s="327">
        <v>437</v>
      </c>
      <c r="T38" s="326">
        <v>97</v>
      </c>
      <c r="U38" s="312" t="s">
        <v>19</v>
      </c>
      <c r="V38" s="514"/>
    </row>
    <row r="39" spans="1:22" s="217" customFormat="1" ht="11.85" customHeight="1">
      <c r="A39" s="519"/>
      <c r="B39" s="310" t="s">
        <v>20</v>
      </c>
      <c r="C39" s="327">
        <v>-2466</v>
      </c>
      <c r="D39" s="327">
        <v>-1610</v>
      </c>
      <c r="E39" s="327">
        <v>2176</v>
      </c>
      <c r="F39" s="327">
        <v>-80</v>
      </c>
      <c r="G39" s="327">
        <v>-326</v>
      </c>
      <c r="H39" s="327">
        <v>38</v>
      </c>
      <c r="I39" s="327">
        <v>-409</v>
      </c>
      <c r="J39" s="327">
        <v>-98</v>
      </c>
      <c r="K39" s="327">
        <v>-15</v>
      </c>
      <c r="L39" s="327">
        <v>-1111</v>
      </c>
      <c r="M39" s="327">
        <v>-40</v>
      </c>
      <c r="N39" s="327">
        <v>-427</v>
      </c>
      <c r="O39" s="327">
        <v>-312</v>
      </c>
      <c r="P39" s="327">
        <v>0</v>
      </c>
      <c r="Q39" s="327">
        <v>-1</v>
      </c>
      <c r="R39" s="327">
        <v>-437</v>
      </c>
      <c r="S39" s="327">
        <v>0</v>
      </c>
      <c r="T39" s="326">
        <v>186</v>
      </c>
      <c r="U39" s="312" t="s">
        <v>20</v>
      </c>
      <c r="V39" s="514"/>
    </row>
    <row r="40" spans="1:22" s="217" customFormat="1" ht="20.100000000000001" customHeight="1">
      <c r="A40" s="520"/>
      <c r="B40" s="313" t="s">
        <v>21</v>
      </c>
      <c r="C40" s="328">
        <v>-2278</v>
      </c>
      <c r="D40" s="328">
        <v>-593</v>
      </c>
      <c r="E40" s="328">
        <v>-309</v>
      </c>
      <c r="F40" s="328">
        <v>-74</v>
      </c>
      <c r="G40" s="328">
        <v>-236</v>
      </c>
      <c r="H40" s="328">
        <v>22</v>
      </c>
      <c r="I40" s="328">
        <v>-96</v>
      </c>
      <c r="J40" s="328">
        <v>5</v>
      </c>
      <c r="K40" s="328">
        <v>-57</v>
      </c>
      <c r="L40" s="328">
        <v>-114</v>
      </c>
      <c r="M40" s="328">
        <v>-94</v>
      </c>
      <c r="N40" s="328">
        <v>-31</v>
      </c>
      <c r="O40" s="328">
        <v>-112</v>
      </c>
      <c r="P40" s="328">
        <v>-98</v>
      </c>
      <c r="Q40" s="328">
        <v>-208</v>
      </c>
      <c r="R40" s="328">
        <v>-97</v>
      </c>
      <c r="S40" s="328">
        <v>-186</v>
      </c>
      <c r="T40" s="329">
        <v>0</v>
      </c>
      <c r="U40" s="316" t="s">
        <v>21</v>
      </c>
      <c r="V40" s="515"/>
    </row>
    <row r="41" spans="1:22" s="217" customFormat="1" ht="20.100000000000001" customHeight="1">
      <c r="A41" s="489" t="s">
        <v>80</v>
      </c>
      <c r="B41" s="322" t="s">
        <v>5</v>
      </c>
      <c r="C41" s="332">
        <v>0</v>
      </c>
      <c r="D41" s="332">
        <v>8692</v>
      </c>
      <c r="E41" s="332">
        <v>5283</v>
      </c>
      <c r="F41" s="332">
        <v>961</v>
      </c>
      <c r="G41" s="332">
        <v>-15854</v>
      </c>
      <c r="H41" s="332">
        <v>6864</v>
      </c>
      <c r="I41" s="332">
        <v>-1226</v>
      </c>
      <c r="J41" s="332">
        <v>4147</v>
      </c>
      <c r="K41" s="332">
        <v>97</v>
      </c>
      <c r="L41" s="332">
        <v>-18203</v>
      </c>
      <c r="M41" s="332">
        <v>1278</v>
      </c>
      <c r="N41" s="332">
        <v>-4073</v>
      </c>
      <c r="O41" s="332">
        <v>-2828</v>
      </c>
      <c r="P41" s="332">
        <v>2075</v>
      </c>
      <c r="Q41" s="332">
        <v>448</v>
      </c>
      <c r="R41" s="332">
        <v>5233</v>
      </c>
      <c r="S41" s="332">
        <v>5111</v>
      </c>
      <c r="T41" s="333">
        <v>1995</v>
      </c>
      <c r="U41" s="325" t="s">
        <v>5</v>
      </c>
      <c r="V41" s="479" t="s">
        <v>80</v>
      </c>
    </row>
    <row r="42" spans="1:22" s="217" customFormat="1" ht="11.85" customHeight="1">
      <c r="A42" s="489"/>
      <c r="B42" s="310" t="s">
        <v>6</v>
      </c>
      <c r="C42" s="327">
        <v>-8692</v>
      </c>
      <c r="D42" s="327">
        <v>0</v>
      </c>
      <c r="E42" s="327">
        <v>3163</v>
      </c>
      <c r="F42" s="327">
        <v>2677</v>
      </c>
      <c r="G42" s="327">
        <v>-5824</v>
      </c>
      <c r="H42" s="327">
        <v>1984</v>
      </c>
      <c r="I42" s="327">
        <v>969</v>
      </c>
      <c r="J42" s="327">
        <v>959</v>
      </c>
      <c r="K42" s="327">
        <v>243</v>
      </c>
      <c r="L42" s="327">
        <v>-20002</v>
      </c>
      <c r="M42" s="327">
        <v>449</v>
      </c>
      <c r="N42" s="327">
        <v>330</v>
      </c>
      <c r="O42" s="327">
        <v>393</v>
      </c>
      <c r="P42" s="327">
        <v>894</v>
      </c>
      <c r="Q42" s="327">
        <v>701</v>
      </c>
      <c r="R42" s="327">
        <v>1552</v>
      </c>
      <c r="S42" s="327">
        <v>2226</v>
      </c>
      <c r="T42" s="326">
        <v>594</v>
      </c>
      <c r="U42" s="312" t="s">
        <v>6</v>
      </c>
      <c r="V42" s="479"/>
    </row>
    <row r="43" spans="1:22" s="217" customFormat="1" ht="11.85" customHeight="1">
      <c r="A43" s="489"/>
      <c r="B43" s="310" t="s">
        <v>7</v>
      </c>
      <c r="C43" s="327">
        <v>-5283</v>
      </c>
      <c r="D43" s="327">
        <v>-3163</v>
      </c>
      <c r="E43" s="327">
        <v>0</v>
      </c>
      <c r="F43" s="327">
        <v>-70</v>
      </c>
      <c r="G43" s="327">
        <v>-552</v>
      </c>
      <c r="H43" s="327">
        <v>84</v>
      </c>
      <c r="I43" s="327">
        <v>-309</v>
      </c>
      <c r="J43" s="327">
        <v>588</v>
      </c>
      <c r="K43" s="327">
        <v>126</v>
      </c>
      <c r="L43" s="327">
        <v>-1562</v>
      </c>
      <c r="M43" s="327">
        <v>31</v>
      </c>
      <c r="N43" s="327">
        <v>-176</v>
      </c>
      <c r="O43" s="327">
        <v>-225</v>
      </c>
      <c r="P43" s="327">
        <v>-69</v>
      </c>
      <c r="Q43" s="327">
        <v>152</v>
      </c>
      <c r="R43" s="327">
        <v>-88</v>
      </c>
      <c r="S43" s="327">
        <v>-245</v>
      </c>
      <c r="T43" s="326">
        <v>195</v>
      </c>
      <c r="U43" s="312" t="s">
        <v>7</v>
      </c>
      <c r="V43" s="479"/>
    </row>
    <row r="44" spans="1:22" s="217" customFormat="1" ht="11.85" customHeight="1">
      <c r="A44" s="489"/>
      <c r="B44" s="310" t="s">
        <v>8</v>
      </c>
      <c r="C44" s="327">
        <v>-961</v>
      </c>
      <c r="D44" s="327">
        <v>-2677</v>
      </c>
      <c r="E44" s="327">
        <v>70</v>
      </c>
      <c r="F44" s="327">
        <v>0</v>
      </c>
      <c r="G44" s="327">
        <v>-296</v>
      </c>
      <c r="H44" s="327">
        <v>46</v>
      </c>
      <c r="I44" s="327">
        <v>-237</v>
      </c>
      <c r="J44" s="327">
        <v>174</v>
      </c>
      <c r="K44" s="327">
        <v>-4</v>
      </c>
      <c r="L44" s="327">
        <v>-1182</v>
      </c>
      <c r="M44" s="327">
        <v>-12</v>
      </c>
      <c r="N44" s="327">
        <v>-140</v>
      </c>
      <c r="O44" s="327">
        <v>-127</v>
      </c>
      <c r="P44" s="327">
        <v>46</v>
      </c>
      <c r="Q44" s="327">
        <v>26</v>
      </c>
      <c r="R44" s="327">
        <v>2711</v>
      </c>
      <c r="S44" s="327">
        <v>543</v>
      </c>
      <c r="T44" s="326">
        <v>98</v>
      </c>
      <c r="U44" s="312" t="s">
        <v>8</v>
      </c>
      <c r="V44" s="479"/>
    </row>
    <row r="45" spans="1:22" s="217" customFormat="1" ht="11.85" customHeight="1">
      <c r="A45" s="489"/>
      <c r="B45" s="310" t="s">
        <v>9</v>
      </c>
      <c r="C45" s="327">
        <v>15854</v>
      </c>
      <c r="D45" s="327">
        <v>5824</v>
      </c>
      <c r="E45" s="327">
        <v>552</v>
      </c>
      <c r="F45" s="327">
        <v>296</v>
      </c>
      <c r="G45" s="327">
        <v>0</v>
      </c>
      <c r="H45" s="327">
        <v>332</v>
      </c>
      <c r="I45" s="327">
        <v>137</v>
      </c>
      <c r="J45" s="327">
        <v>165</v>
      </c>
      <c r="K45" s="327">
        <v>-18</v>
      </c>
      <c r="L45" s="327">
        <v>7434</v>
      </c>
      <c r="M45" s="327">
        <v>263</v>
      </c>
      <c r="N45" s="327">
        <v>-80</v>
      </c>
      <c r="O45" s="327">
        <v>-224</v>
      </c>
      <c r="P45" s="327">
        <v>228</v>
      </c>
      <c r="Q45" s="327">
        <v>216</v>
      </c>
      <c r="R45" s="327">
        <v>226</v>
      </c>
      <c r="S45" s="327">
        <v>315</v>
      </c>
      <c r="T45" s="326">
        <v>188</v>
      </c>
      <c r="U45" s="312" t="s">
        <v>9</v>
      </c>
      <c r="V45" s="479"/>
    </row>
    <row r="46" spans="1:22" s="217" customFormat="1" ht="11.85" customHeight="1">
      <c r="A46" s="489"/>
      <c r="B46" s="310" t="s">
        <v>10</v>
      </c>
      <c r="C46" s="327">
        <v>-6864</v>
      </c>
      <c r="D46" s="327">
        <v>-1984</v>
      </c>
      <c r="E46" s="327">
        <v>-84</v>
      </c>
      <c r="F46" s="327">
        <v>-46</v>
      </c>
      <c r="G46" s="327">
        <v>-332</v>
      </c>
      <c r="H46" s="327">
        <v>0</v>
      </c>
      <c r="I46" s="327">
        <v>-292</v>
      </c>
      <c r="J46" s="327">
        <v>3</v>
      </c>
      <c r="K46" s="327">
        <v>-88</v>
      </c>
      <c r="L46" s="327">
        <v>-1084</v>
      </c>
      <c r="M46" s="327">
        <v>-46</v>
      </c>
      <c r="N46" s="327">
        <v>-233</v>
      </c>
      <c r="O46" s="327">
        <v>-311</v>
      </c>
      <c r="P46" s="327">
        <v>-285</v>
      </c>
      <c r="Q46" s="327">
        <v>-2060</v>
      </c>
      <c r="R46" s="327">
        <v>-49</v>
      </c>
      <c r="S46" s="327">
        <v>24</v>
      </c>
      <c r="T46" s="326">
        <v>3</v>
      </c>
      <c r="U46" s="312" t="s">
        <v>10</v>
      </c>
      <c r="V46" s="479"/>
    </row>
    <row r="47" spans="1:22" s="217" customFormat="1" ht="11.85" customHeight="1">
      <c r="A47" s="489"/>
      <c r="B47" s="310" t="s">
        <v>11</v>
      </c>
      <c r="C47" s="327">
        <v>1226</v>
      </c>
      <c r="D47" s="327">
        <v>-969</v>
      </c>
      <c r="E47" s="327">
        <v>309</v>
      </c>
      <c r="F47" s="327">
        <v>237</v>
      </c>
      <c r="G47" s="327">
        <v>-137</v>
      </c>
      <c r="H47" s="327">
        <v>292</v>
      </c>
      <c r="I47" s="327">
        <v>0</v>
      </c>
      <c r="J47" s="327">
        <v>82</v>
      </c>
      <c r="K47" s="327">
        <v>-37</v>
      </c>
      <c r="L47" s="327">
        <v>-281</v>
      </c>
      <c r="M47" s="327">
        <v>157</v>
      </c>
      <c r="N47" s="327">
        <v>-476</v>
      </c>
      <c r="O47" s="327">
        <v>484</v>
      </c>
      <c r="P47" s="327">
        <v>513</v>
      </c>
      <c r="Q47" s="327">
        <v>246</v>
      </c>
      <c r="R47" s="327">
        <v>430</v>
      </c>
      <c r="S47" s="327">
        <v>288</v>
      </c>
      <c r="T47" s="326">
        <v>88</v>
      </c>
      <c r="U47" s="312" t="s">
        <v>11</v>
      </c>
      <c r="V47" s="479"/>
    </row>
    <row r="48" spans="1:22" s="217" customFormat="1" ht="11.85" customHeight="1">
      <c r="A48" s="489"/>
      <c r="B48" s="310" t="s">
        <v>12</v>
      </c>
      <c r="C48" s="327">
        <v>-4147</v>
      </c>
      <c r="D48" s="327">
        <v>-959</v>
      </c>
      <c r="E48" s="327">
        <v>-588</v>
      </c>
      <c r="F48" s="327">
        <v>-174</v>
      </c>
      <c r="G48" s="327">
        <v>-165</v>
      </c>
      <c r="H48" s="327">
        <v>-3</v>
      </c>
      <c r="I48" s="327">
        <v>-82</v>
      </c>
      <c r="J48" s="327">
        <v>0</v>
      </c>
      <c r="K48" s="327">
        <v>-69</v>
      </c>
      <c r="L48" s="327">
        <v>-770</v>
      </c>
      <c r="M48" s="327">
        <v>-67</v>
      </c>
      <c r="N48" s="327">
        <v>-102</v>
      </c>
      <c r="O48" s="327">
        <v>-121</v>
      </c>
      <c r="P48" s="327">
        <v>-23</v>
      </c>
      <c r="Q48" s="327">
        <v>72</v>
      </c>
      <c r="R48" s="327">
        <v>-733</v>
      </c>
      <c r="S48" s="327">
        <v>-358</v>
      </c>
      <c r="T48" s="326">
        <v>-5</v>
      </c>
      <c r="U48" s="312" t="s">
        <v>12</v>
      </c>
      <c r="V48" s="479"/>
    </row>
    <row r="49" spans="1:22" s="217" customFormat="1" ht="11.85" customHeight="1">
      <c r="A49" s="489"/>
      <c r="B49" s="310" t="s">
        <v>167</v>
      </c>
      <c r="C49" s="327">
        <v>-97</v>
      </c>
      <c r="D49" s="327">
        <v>-243</v>
      </c>
      <c r="E49" s="327">
        <v>-126</v>
      </c>
      <c r="F49" s="327">
        <v>4</v>
      </c>
      <c r="G49" s="327">
        <v>18</v>
      </c>
      <c r="H49" s="327">
        <v>88</v>
      </c>
      <c r="I49" s="327">
        <v>37</v>
      </c>
      <c r="J49" s="327">
        <v>69</v>
      </c>
      <c r="K49" s="327">
        <v>0</v>
      </c>
      <c r="L49" s="327">
        <v>15</v>
      </c>
      <c r="M49" s="327">
        <v>52</v>
      </c>
      <c r="N49" s="327">
        <v>-400</v>
      </c>
      <c r="O49" s="327">
        <v>10</v>
      </c>
      <c r="P49" s="327">
        <v>95</v>
      </c>
      <c r="Q49" s="327">
        <v>123</v>
      </c>
      <c r="R49" s="327">
        <v>55</v>
      </c>
      <c r="S49" s="327">
        <v>61</v>
      </c>
      <c r="T49" s="326">
        <v>45</v>
      </c>
      <c r="U49" s="312" t="s">
        <v>167</v>
      </c>
      <c r="V49" s="479"/>
    </row>
    <row r="50" spans="1:22" s="217" customFormat="1" ht="11.85" customHeight="1">
      <c r="A50" s="489"/>
      <c r="B50" s="310" t="s">
        <v>13</v>
      </c>
      <c r="C50" s="327">
        <v>18203</v>
      </c>
      <c r="D50" s="327">
        <v>20002</v>
      </c>
      <c r="E50" s="327">
        <v>1562</v>
      </c>
      <c r="F50" s="327">
        <v>1182</v>
      </c>
      <c r="G50" s="327">
        <v>-7434</v>
      </c>
      <c r="H50" s="327">
        <v>1084</v>
      </c>
      <c r="I50" s="327">
        <v>281</v>
      </c>
      <c r="J50" s="327">
        <v>770</v>
      </c>
      <c r="K50" s="327">
        <v>-15</v>
      </c>
      <c r="L50" s="327">
        <v>0</v>
      </c>
      <c r="M50" s="327">
        <v>-18</v>
      </c>
      <c r="N50" s="327">
        <v>-1311</v>
      </c>
      <c r="O50" s="327">
        <v>-1127</v>
      </c>
      <c r="P50" s="327">
        <v>590</v>
      </c>
      <c r="Q50" s="327">
        <v>369</v>
      </c>
      <c r="R50" s="327">
        <v>784</v>
      </c>
      <c r="S50" s="327">
        <v>1302</v>
      </c>
      <c r="T50" s="326">
        <v>182</v>
      </c>
      <c r="U50" s="312" t="s">
        <v>13</v>
      </c>
      <c r="V50" s="479"/>
    </row>
    <row r="51" spans="1:22" s="217" customFormat="1" ht="11.85" customHeight="1">
      <c r="A51" s="489"/>
      <c r="B51" s="310" t="s">
        <v>14</v>
      </c>
      <c r="C51" s="327">
        <v>-1278</v>
      </c>
      <c r="D51" s="327">
        <v>-449</v>
      </c>
      <c r="E51" s="327">
        <v>-31</v>
      </c>
      <c r="F51" s="327">
        <v>12</v>
      </c>
      <c r="G51" s="327">
        <v>-263</v>
      </c>
      <c r="H51" s="327">
        <v>46</v>
      </c>
      <c r="I51" s="327">
        <v>-157</v>
      </c>
      <c r="J51" s="327">
        <v>67</v>
      </c>
      <c r="K51" s="327">
        <v>-52</v>
      </c>
      <c r="L51" s="327">
        <v>18</v>
      </c>
      <c r="M51" s="327">
        <v>0</v>
      </c>
      <c r="N51" s="327">
        <v>-268</v>
      </c>
      <c r="O51" s="327">
        <v>-259</v>
      </c>
      <c r="P51" s="327">
        <v>-4</v>
      </c>
      <c r="Q51" s="327">
        <v>32</v>
      </c>
      <c r="R51" s="327">
        <v>-27</v>
      </c>
      <c r="S51" s="327">
        <v>5</v>
      </c>
      <c r="T51" s="326">
        <v>52</v>
      </c>
      <c r="U51" s="312" t="s">
        <v>14</v>
      </c>
      <c r="V51" s="479"/>
    </row>
    <row r="52" spans="1:22" s="217" customFormat="1" ht="11.85" customHeight="1">
      <c r="A52" s="489"/>
      <c r="B52" s="310" t="s">
        <v>15</v>
      </c>
      <c r="C52" s="327">
        <v>4073</v>
      </c>
      <c r="D52" s="327">
        <v>-330</v>
      </c>
      <c r="E52" s="327">
        <v>176</v>
      </c>
      <c r="F52" s="327">
        <v>140</v>
      </c>
      <c r="G52" s="327">
        <v>80</v>
      </c>
      <c r="H52" s="327">
        <v>233</v>
      </c>
      <c r="I52" s="327">
        <v>476</v>
      </c>
      <c r="J52" s="327">
        <v>102</v>
      </c>
      <c r="K52" s="327">
        <v>400</v>
      </c>
      <c r="L52" s="327">
        <v>1311</v>
      </c>
      <c r="M52" s="327">
        <v>268</v>
      </c>
      <c r="N52" s="327">
        <v>0</v>
      </c>
      <c r="O52" s="327">
        <v>-22</v>
      </c>
      <c r="P52" s="327">
        <v>219</v>
      </c>
      <c r="Q52" s="327">
        <v>189</v>
      </c>
      <c r="R52" s="327">
        <v>445</v>
      </c>
      <c r="S52" s="327">
        <v>299</v>
      </c>
      <c r="T52" s="326">
        <v>87</v>
      </c>
      <c r="U52" s="312" t="s">
        <v>15</v>
      </c>
      <c r="V52" s="479"/>
    </row>
    <row r="53" spans="1:22" s="217" customFormat="1" ht="11.85" customHeight="1">
      <c r="A53" s="489"/>
      <c r="B53" s="310" t="s">
        <v>16</v>
      </c>
      <c r="C53" s="327">
        <v>2828</v>
      </c>
      <c r="D53" s="327">
        <v>-393</v>
      </c>
      <c r="E53" s="327">
        <v>225</v>
      </c>
      <c r="F53" s="327">
        <v>127</v>
      </c>
      <c r="G53" s="327">
        <v>224</v>
      </c>
      <c r="H53" s="327">
        <v>311</v>
      </c>
      <c r="I53" s="327">
        <v>-484</v>
      </c>
      <c r="J53" s="327">
        <v>121</v>
      </c>
      <c r="K53" s="327">
        <v>-10</v>
      </c>
      <c r="L53" s="327">
        <v>1127</v>
      </c>
      <c r="M53" s="327">
        <v>259</v>
      </c>
      <c r="N53" s="327">
        <v>22</v>
      </c>
      <c r="O53" s="327">
        <v>0</v>
      </c>
      <c r="P53" s="327">
        <v>169</v>
      </c>
      <c r="Q53" s="327">
        <v>289</v>
      </c>
      <c r="R53" s="327">
        <v>398</v>
      </c>
      <c r="S53" s="327">
        <v>320</v>
      </c>
      <c r="T53" s="326">
        <v>123</v>
      </c>
      <c r="U53" s="312" t="s">
        <v>16</v>
      </c>
      <c r="V53" s="479"/>
    </row>
    <row r="54" spans="1:22" s="217" customFormat="1" ht="11.85" customHeight="1">
      <c r="A54" s="489"/>
      <c r="B54" s="310" t="s">
        <v>17</v>
      </c>
      <c r="C54" s="327">
        <v>-2075</v>
      </c>
      <c r="D54" s="327">
        <v>-894</v>
      </c>
      <c r="E54" s="327">
        <v>69</v>
      </c>
      <c r="F54" s="327">
        <v>-46</v>
      </c>
      <c r="G54" s="327">
        <v>-228</v>
      </c>
      <c r="H54" s="327">
        <v>285</v>
      </c>
      <c r="I54" s="327">
        <v>-513</v>
      </c>
      <c r="J54" s="327">
        <v>23</v>
      </c>
      <c r="K54" s="327">
        <v>-95</v>
      </c>
      <c r="L54" s="327">
        <v>-590</v>
      </c>
      <c r="M54" s="327">
        <v>4</v>
      </c>
      <c r="N54" s="327">
        <v>-219</v>
      </c>
      <c r="O54" s="327">
        <v>-169</v>
      </c>
      <c r="P54" s="327">
        <v>0</v>
      </c>
      <c r="Q54" s="327">
        <v>265</v>
      </c>
      <c r="R54" s="327">
        <v>-42</v>
      </c>
      <c r="S54" s="327">
        <v>51</v>
      </c>
      <c r="T54" s="326">
        <v>24</v>
      </c>
      <c r="U54" s="312" t="s">
        <v>17</v>
      </c>
      <c r="V54" s="479"/>
    </row>
    <row r="55" spans="1:22" s="217" customFormat="1" ht="11.85" customHeight="1">
      <c r="A55" s="489"/>
      <c r="B55" s="310" t="s">
        <v>18</v>
      </c>
      <c r="C55" s="327">
        <v>-448</v>
      </c>
      <c r="D55" s="327">
        <v>-701</v>
      </c>
      <c r="E55" s="327">
        <v>-152</v>
      </c>
      <c r="F55" s="327">
        <v>-26</v>
      </c>
      <c r="G55" s="327">
        <v>-216</v>
      </c>
      <c r="H55" s="327">
        <v>2060</v>
      </c>
      <c r="I55" s="327">
        <v>-246</v>
      </c>
      <c r="J55" s="327">
        <v>-72</v>
      </c>
      <c r="K55" s="327">
        <v>-123</v>
      </c>
      <c r="L55" s="327">
        <v>-369</v>
      </c>
      <c r="M55" s="327">
        <v>-32</v>
      </c>
      <c r="N55" s="327">
        <v>-189</v>
      </c>
      <c r="O55" s="327">
        <v>-289</v>
      </c>
      <c r="P55" s="327">
        <v>-265</v>
      </c>
      <c r="Q55" s="327">
        <v>0</v>
      </c>
      <c r="R55" s="327">
        <v>-91</v>
      </c>
      <c r="S55" s="327">
        <v>133</v>
      </c>
      <c r="T55" s="326">
        <v>130</v>
      </c>
      <c r="U55" s="312" t="s">
        <v>18</v>
      </c>
      <c r="V55" s="479"/>
    </row>
    <row r="56" spans="1:22" s="217" customFormat="1" ht="11.85" customHeight="1">
      <c r="A56" s="489"/>
      <c r="B56" s="310" t="s">
        <v>19</v>
      </c>
      <c r="C56" s="327">
        <v>-5233</v>
      </c>
      <c r="D56" s="327">
        <v>-1552</v>
      </c>
      <c r="E56" s="327">
        <v>88</v>
      </c>
      <c r="F56" s="327">
        <v>-2711</v>
      </c>
      <c r="G56" s="327">
        <v>-226</v>
      </c>
      <c r="H56" s="327">
        <v>49</v>
      </c>
      <c r="I56" s="327">
        <v>-430</v>
      </c>
      <c r="J56" s="327">
        <v>733</v>
      </c>
      <c r="K56" s="327">
        <v>-55</v>
      </c>
      <c r="L56" s="327">
        <v>-784</v>
      </c>
      <c r="M56" s="327">
        <v>27</v>
      </c>
      <c r="N56" s="327">
        <v>-445</v>
      </c>
      <c r="O56" s="327">
        <v>-398</v>
      </c>
      <c r="P56" s="327">
        <v>42</v>
      </c>
      <c r="Q56" s="327">
        <v>91</v>
      </c>
      <c r="R56" s="327">
        <v>0</v>
      </c>
      <c r="S56" s="327">
        <v>259</v>
      </c>
      <c r="T56" s="326">
        <v>79</v>
      </c>
      <c r="U56" s="312" t="s">
        <v>19</v>
      </c>
      <c r="V56" s="479"/>
    </row>
    <row r="57" spans="1:22" s="217" customFormat="1" ht="11.85" customHeight="1">
      <c r="A57" s="489"/>
      <c r="B57" s="310" t="s">
        <v>20</v>
      </c>
      <c r="C57" s="327">
        <v>-5111</v>
      </c>
      <c r="D57" s="327">
        <v>-2226</v>
      </c>
      <c r="E57" s="327">
        <v>245</v>
      </c>
      <c r="F57" s="327">
        <v>-543</v>
      </c>
      <c r="G57" s="327">
        <v>-315</v>
      </c>
      <c r="H57" s="327">
        <v>-24</v>
      </c>
      <c r="I57" s="327">
        <v>-288</v>
      </c>
      <c r="J57" s="327">
        <v>358</v>
      </c>
      <c r="K57" s="327">
        <v>-61</v>
      </c>
      <c r="L57" s="327">
        <v>-1302</v>
      </c>
      <c r="M57" s="327">
        <v>-5</v>
      </c>
      <c r="N57" s="327">
        <v>-299</v>
      </c>
      <c r="O57" s="327">
        <v>-320</v>
      </c>
      <c r="P57" s="327">
        <v>-51</v>
      </c>
      <c r="Q57" s="327">
        <v>-133</v>
      </c>
      <c r="R57" s="327">
        <v>-259</v>
      </c>
      <c r="S57" s="327">
        <v>0</v>
      </c>
      <c r="T57" s="326">
        <v>112</v>
      </c>
      <c r="U57" s="312" t="s">
        <v>20</v>
      </c>
      <c r="V57" s="479"/>
    </row>
    <row r="58" spans="1:22" s="217" customFormat="1" ht="11.85" customHeight="1">
      <c r="A58" s="489"/>
      <c r="B58" s="310" t="s">
        <v>21</v>
      </c>
      <c r="C58" s="327">
        <v>-1995</v>
      </c>
      <c r="D58" s="327">
        <v>-594</v>
      </c>
      <c r="E58" s="327">
        <v>-195</v>
      </c>
      <c r="F58" s="327">
        <v>-98</v>
      </c>
      <c r="G58" s="327">
        <v>-188</v>
      </c>
      <c r="H58" s="327">
        <v>-3</v>
      </c>
      <c r="I58" s="327">
        <v>-88</v>
      </c>
      <c r="J58" s="327">
        <v>5</v>
      </c>
      <c r="K58" s="327">
        <v>-45</v>
      </c>
      <c r="L58" s="327">
        <v>-182</v>
      </c>
      <c r="M58" s="327">
        <v>-52</v>
      </c>
      <c r="N58" s="327">
        <v>-87</v>
      </c>
      <c r="O58" s="327">
        <v>-123</v>
      </c>
      <c r="P58" s="327">
        <v>-24</v>
      </c>
      <c r="Q58" s="327">
        <v>-130</v>
      </c>
      <c r="R58" s="327">
        <v>-79</v>
      </c>
      <c r="S58" s="327">
        <v>-112</v>
      </c>
      <c r="T58" s="326">
        <v>0</v>
      </c>
      <c r="U58" s="312" t="s">
        <v>21</v>
      </c>
      <c r="V58" s="479"/>
    </row>
    <row r="59" spans="1:22" s="104" customFormat="1" ht="7.5" customHeight="1" thickBot="1">
      <c r="A59" s="491"/>
      <c r="B59" s="24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96"/>
      <c r="V59" s="480"/>
    </row>
  </sheetData>
  <mergeCells count="7">
    <mergeCell ref="L1:U1"/>
    <mergeCell ref="A4:A22"/>
    <mergeCell ref="A23:A40"/>
    <mergeCell ref="A41:A59"/>
    <mergeCell ref="V4:V22"/>
    <mergeCell ref="V23:V40"/>
    <mergeCell ref="V41:V59"/>
  </mergeCells>
  <phoneticPr fontId="2" type="noConversion"/>
  <conditionalFormatting sqref="C5:T58">
    <cfRule type="cellIs" dxfId="4" priority="1" operator="between">
      <formula>-1</formula>
      <formula>-999</formula>
    </cfRule>
  </conditionalFormatting>
  <printOptions horizontalCentered="1"/>
  <pageMargins left="0.78740157480314965" right="0.78740157480314965" top="0.78740157480314965" bottom="0.47244094488188981" header="0.51181102362204722" footer="1.0629921259842521"/>
  <pageSetup paperSize="9" scale="95" firstPageNumber="24" orientation="portrait" horizontalDpi="1200" verticalDpi="1200" r:id="rId1"/>
  <headerFooter alignWithMargins="0"/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L471"/>
  <sheetViews>
    <sheetView showGridLines="0" view="pageBreakPreview" zoomScaleNormal="100" workbookViewId="0">
      <selection sqref="A1:J1"/>
    </sheetView>
  </sheetViews>
  <sheetFormatPr defaultRowHeight="13.5"/>
  <cols>
    <col min="1" max="1" width="10.625" style="1" customWidth="1"/>
    <col min="2" max="3" width="9" customWidth="1"/>
    <col min="4" max="10" width="9" style="31" customWidth="1"/>
  </cols>
  <sheetData>
    <row r="1" spans="1:11" ht="18.75">
      <c r="A1" s="469" t="str">
        <f>"8. 수도권 이동자 수 추이, "&amp;A16&amp;"~"&amp;표지!G5</f>
        <v>8. 수도권 이동자 수 추이, 1990~2025</v>
      </c>
      <c r="B1" s="469"/>
      <c r="C1" s="469"/>
      <c r="D1" s="469"/>
      <c r="E1" s="469"/>
      <c r="F1" s="469"/>
      <c r="G1" s="469"/>
      <c r="H1" s="469"/>
      <c r="I1" s="469"/>
      <c r="J1" s="469"/>
    </row>
    <row r="2" spans="1:11" ht="15" customHeight="1" thickBot="1">
      <c r="A2" s="5"/>
      <c r="B2" s="16"/>
      <c r="C2" s="4"/>
      <c r="D2" s="27"/>
      <c r="E2" s="27"/>
      <c r="F2" s="27"/>
      <c r="G2" s="27"/>
      <c r="H2" s="27"/>
      <c r="I2" s="27"/>
      <c r="J2" s="28" t="s">
        <v>36</v>
      </c>
    </row>
    <row r="3" spans="1:11" ht="17.100000000000001" customHeight="1">
      <c r="A3" s="522" t="s">
        <v>115</v>
      </c>
      <c r="B3" s="524" t="s">
        <v>40</v>
      </c>
      <c r="C3" s="526" t="s">
        <v>116</v>
      </c>
      <c r="D3" s="527"/>
      <c r="E3" s="527"/>
      <c r="F3" s="528"/>
      <c r="G3" s="529" t="s">
        <v>117</v>
      </c>
      <c r="H3" s="530"/>
      <c r="I3" s="530"/>
      <c r="J3" s="530"/>
      <c r="K3" s="3"/>
    </row>
    <row r="4" spans="1:11" ht="17.100000000000001" customHeight="1">
      <c r="A4" s="523"/>
      <c r="B4" s="525"/>
      <c r="C4" s="183" t="s">
        <v>41</v>
      </c>
      <c r="D4" s="29" t="s">
        <v>118</v>
      </c>
      <c r="E4" s="29" t="s">
        <v>119</v>
      </c>
      <c r="F4" s="29" t="s">
        <v>120</v>
      </c>
      <c r="G4" s="185" t="s">
        <v>41</v>
      </c>
      <c r="H4" s="29" t="s">
        <v>118</v>
      </c>
      <c r="I4" s="29" t="s">
        <v>119</v>
      </c>
      <c r="J4" s="184" t="s">
        <v>120</v>
      </c>
      <c r="K4" s="3"/>
    </row>
    <row r="5" spans="1:11" ht="5.25" customHeight="1">
      <c r="A5" s="14"/>
      <c r="B5" s="8"/>
      <c r="C5" s="186"/>
      <c r="D5" s="187"/>
      <c r="E5" s="187"/>
      <c r="F5" s="188"/>
      <c r="G5" s="7"/>
      <c r="H5" s="7"/>
      <c r="I5" s="7"/>
      <c r="J5" s="7"/>
    </row>
    <row r="6" spans="1:11" ht="14.25" hidden="1" customHeight="1">
      <c r="A6" s="14">
        <v>1980</v>
      </c>
      <c r="B6" s="8"/>
      <c r="C6" s="189"/>
      <c r="D6" s="7"/>
      <c r="E6" s="7"/>
      <c r="F6" s="190"/>
      <c r="G6" s="7"/>
      <c r="H6" s="7"/>
      <c r="I6" s="7"/>
      <c r="J6" s="7"/>
    </row>
    <row r="7" spans="1:11" ht="14.25" hidden="1" customHeight="1">
      <c r="A7" s="14">
        <v>1981</v>
      </c>
      <c r="B7" s="8"/>
      <c r="C7" s="189"/>
      <c r="D7" s="7"/>
      <c r="E7" s="7"/>
      <c r="F7" s="190"/>
      <c r="G7" s="7"/>
      <c r="H7" s="7"/>
      <c r="I7" s="7"/>
      <c r="J7" s="7"/>
    </row>
    <row r="8" spans="1:11" ht="14.25" hidden="1" customHeight="1">
      <c r="A8" s="14">
        <v>1982</v>
      </c>
      <c r="B8" s="8"/>
      <c r="C8" s="189"/>
      <c r="D8" s="7"/>
      <c r="E8" s="7"/>
      <c r="F8" s="190"/>
      <c r="G8" s="7"/>
      <c r="H8" s="7"/>
      <c r="I8" s="7"/>
      <c r="J8" s="7"/>
    </row>
    <row r="9" spans="1:11" ht="14.25" hidden="1" customHeight="1">
      <c r="A9" s="14">
        <v>1983</v>
      </c>
      <c r="B9" s="8"/>
      <c r="C9" s="189"/>
      <c r="D9" s="7"/>
      <c r="E9" s="7"/>
      <c r="F9" s="190"/>
      <c r="G9" s="7"/>
      <c r="H9" s="7"/>
      <c r="I9" s="7"/>
      <c r="J9" s="7"/>
    </row>
    <row r="10" spans="1:11" ht="14.25" hidden="1" customHeight="1">
      <c r="A10" s="14">
        <v>1984</v>
      </c>
      <c r="B10" s="8"/>
      <c r="C10" s="189"/>
      <c r="D10" s="7"/>
      <c r="E10" s="7"/>
      <c r="F10" s="190"/>
      <c r="G10" s="7"/>
      <c r="H10" s="7"/>
      <c r="I10" s="7"/>
      <c r="J10" s="7"/>
    </row>
    <row r="11" spans="1:11" ht="14.25" hidden="1" customHeight="1">
      <c r="A11" s="14">
        <v>1985</v>
      </c>
      <c r="B11" s="8"/>
      <c r="C11" s="189"/>
      <c r="D11" s="7"/>
      <c r="E11" s="7"/>
      <c r="F11" s="190"/>
      <c r="G11" s="7"/>
      <c r="H11" s="7"/>
      <c r="I11" s="7"/>
      <c r="J11" s="7"/>
    </row>
    <row r="12" spans="1:11" ht="14.25" hidden="1" customHeight="1">
      <c r="A12" s="14">
        <v>1986</v>
      </c>
      <c r="B12" s="8"/>
      <c r="C12" s="189"/>
      <c r="D12" s="7"/>
      <c r="E12" s="7"/>
      <c r="F12" s="190"/>
      <c r="G12" s="7"/>
      <c r="H12" s="7"/>
      <c r="I12" s="7"/>
      <c r="J12" s="7"/>
    </row>
    <row r="13" spans="1:11" ht="14.25" hidden="1" customHeight="1">
      <c r="A13" s="14">
        <v>1987</v>
      </c>
      <c r="B13" s="8"/>
      <c r="C13" s="189"/>
      <c r="D13" s="7"/>
      <c r="E13" s="7"/>
      <c r="F13" s="190"/>
      <c r="G13" s="7"/>
      <c r="H13" s="7"/>
      <c r="I13" s="7"/>
      <c r="J13" s="7"/>
    </row>
    <row r="14" spans="1:11" ht="14.25" hidden="1" customHeight="1">
      <c r="A14" s="14">
        <v>1988</v>
      </c>
      <c r="B14" s="8"/>
      <c r="C14" s="189"/>
      <c r="D14" s="7"/>
      <c r="E14" s="7"/>
      <c r="F14" s="190"/>
      <c r="G14" s="7"/>
      <c r="H14" s="7"/>
      <c r="I14" s="7"/>
      <c r="J14" s="7"/>
    </row>
    <row r="15" spans="1:11" hidden="1">
      <c r="A15" s="14">
        <v>1989</v>
      </c>
      <c r="B15" s="22">
        <v>327242</v>
      </c>
      <c r="C15" s="191">
        <v>777938</v>
      </c>
      <c r="D15" s="23">
        <v>466183</v>
      </c>
      <c r="E15" s="23">
        <v>66710</v>
      </c>
      <c r="F15" s="192">
        <v>245045</v>
      </c>
      <c r="G15" s="23">
        <v>450696</v>
      </c>
      <c r="H15" s="23">
        <v>266342</v>
      </c>
      <c r="I15" s="23">
        <v>38163</v>
      </c>
      <c r="J15" s="23">
        <v>146191</v>
      </c>
    </row>
    <row r="16" spans="1:11" ht="17.850000000000001" customHeight="1">
      <c r="A16" s="14">
        <v>1990</v>
      </c>
      <c r="B16" s="22">
        <v>276204</v>
      </c>
      <c r="C16" s="191">
        <v>747933</v>
      </c>
      <c r="D16" s="23">
        <v>427910</v>
      </c>
      <c r="E16" s="23">
        <v>74020</v>
      </c>
      <c r="F16" s="192">
        <v>246003</v>
      </c>
      <c r="G16" s="23">
        <v>471729</v>
      </c>
      <c r="H16" s="23">
        <v>267641</v>
      </c>
      <c r="I16" s="23">
        <v>41641</v>
      </c>
      <c r="J16" s="23">
        <v>162447</v>
      </c>
    </row>
    <row r="17" spans="1:10" ht="17.850000000000001" customHeight="1">
      <c r="A17" s="14">
        <v>1991</v>
      </c>
      <c r="B17" s="22">
        <v>220581</v>
      </c>
      <c r="C17" s="191">
        <v>670219</v>
      </c>
      <c r="D17" s="23">
        <v>371929</v>
      </c>
      <c r="E17" s="23">
        <v>66784</v>
      </c>
      <c r="F17" s="192">
        <v>231506</v>
      </c>
      <c r="G17" s="23">
        <v>449638</v>
      </c>
      <c r="H17" s="23">
        <v>244737</v>
      </c>
      <c r="I17" s="23">
        <v>41844</v>
      </c>
      <c r="J17" s="23">
        <v>163057</v>
      </c>
    </row>
    <row r="18" spans="1:10" ht="17.850000000000001" customHeight="1">
      <c r="A18" s="14">
        <v>1992</v>
      </c>
      <c r="B18" s="22">
        <v>169368</v>
      </c>
      <c r="C18" s="191">
        <v>613283</v>
      </c>
      <c r="D18" s="23">
        <v>331922</v>
      </c>
      <c r="E18" s="23">
        <v>60826</v>
      </c>
      <c r="F18" s="192">
        <v>220535</v>
      </c>
      <c r="G18" s="23">
        <v>443915</v>
      </c>
      <c r="H18" s="23">
        <v>235302</v>
      </c>
      <c r="I18" s="23">
        <v>45114</v>
      </c>
      <c r="J18" s="23">
        <v>163499</v>
      </c>
    </row>
    <row r="19" spans="1:10" ht="17.850000000000001" customHeight="1">
      <c r="A19" s="14">
        <v>1993</v>
      </c>
      <c r="B19" s="22">
        <v>151529</v>
      </c>
      <c r="C19" s="191">
        <v>586458</v>
      </c>
      <c r="D19" s="23">
        <v>310757</v>
      </c>
      <c r="E19" s="23">
        <v>58031</v>
      </c>
      <c r="F19" s="192">
        <v>217670</v>
      </c>
      <c r="G19" s="23">
        <v>434929</v>
      </c>
      <c r="H19" s="23">
        <v>223458</v>
      </c>
      <c r="I19" s="23">
        <v>44950</v>
      </c>
      <c r="J19" s="23">
        <v>166521</v>
      </c>
    </row>
    <row r="20" spans="1:10" ht="17.850000000000001" customHeight="1">
      <c r="A20" s="14">
        <v>1994</v>
      </c>
      <c r="B20" s="22">
        <v>122441</v>
      </c>
      <c r="C20" s="191">
        <v>523568</v>
      </c>
      <c r="D20" s="23">
        <v>270349</v>
      </c>
      <c r="E20" s="23">
        <v>53329</v>
      </c>
      <c r="F20" s="192">
        <v>199890</v>
      </c>
      <c r="G20" s="23">
        <v>401127</v>
      </c>
      <c r="H20" s="23">
        <v>203788</v>
      </c>
      <c r="I20" s="23">
        <v>40713</v>
      </c>
      <c r="J20" s="23">
        <v>156626</v>
      </c>
    </row>
    <row r="21" spans="1:10" ht="17.850000000000001" customHeight="1">
      <c r="A21" s="14">
        <v>1995</v>
      </c>
      <c r="B21" s="22">
        <v>69172</v>
      </c>
      <c r="C21" s="191">
        <v>515683</v>
      </c>
      <c r="D21" s="23">
        <v>256998</v>
      </c>
      <c r="E21" s="23">
        <v>50375</v>
      </c>
      <c r="F21" s="192">
        <v>208310</v>
      </c>
      <c r="G21" s="23">
        <v>446511</v>
      </c>
      <c r="H21" s="23">
        <v>221284</v>
      </c>
      <c r="I21" s="23">
        <v>47263</v>
      </c>
      <c r="J21" s="23">
        <v>177964</v>
      </c>
    </row>
    <row r="22" spans="1:10" ht="17.850000000000001" customHeight="1">
      <c r="A22" s="14">
        <v>1996</v>
      </c>
      <c r="B22" s="22">
        <v>53770</v>
      </c>
      <c r="C22" s="191">
        <v>516644</v>
      </c>
      <c r="D22" s="23">
        <v>254657</v>
      </c>
      <c r="E22" s="23">
        <v>49023</v>
      </c>
      <c r="F22" s="192">
        <v>212964</v>
      </c>
      <c r="G22" s="23">
        <v>462874</v>
      </c>
      <c r="H22" s="23">
        <v>220441</v>
      </c>
      <c r="I22" s="23">
        <v>49771</v>
      </c>
      <c r="J22" s="23">
        <v>192662</v>
      </c>
    </row>
    <row r="23" spans="1:10" ht="17.850000000000001" customHeight="1">
      <c r="A23" s="14">
        <v>1997</v>
      </c>
      <c r="B23" s="22">
        <v>62469</v>
      </c>
      <c r="C23" s="191">
        <v>518745</v>
      </c>
      <c r="D23" s="23">
        <v>250243</v>
      </c>
      <c r="E23" s="23">
        <v>50613</v>
      </c>
      <c r="F23" s="192">
        <v>217889</v>
      </c>
      <c r="G23" s="23">
        <v>456276</v>
      </c>
      <c r="H23" s="23">
        <v>211485</v>
      </c>
      <c r="I23" s="23">
        <v>49103</v>
      </c>
      <c r="J23" s="23">
        <v>195688</v>
      </c>
    </row>
    <row r="24" spans="1:10" ht="17.850000000000001" customHeight="1">
      <c r="A24" s="14">
        <v>1998</v>
      </c>
      <c r="B24" s="22">
        <v>9286</v>
      </c>
      <c r="C24" s="191">
        <v>479988</v>
      </c>
      <c r="D24" s="23">
        <v>231199</v>
      </c>
      <c r="E24" s="23">
        <v>46238</v>
      </c>
      <c r="F24" s="192">
        <v>202551</v>
      </c>
      <c r="G24" s="23">
        <v>470702</v>
      </c>
      <c r="H24" s="23">
        <v>219305</v>
      </c>
      <c r="I24" s="23">
        <v>49589</v>
      </c>
      <c r="J24" s="23">
        <v>201808</v>
      </c>
    </row>
    <row r="25" spans="1:10" ht="17.850000000000001" customHeight="1">
      <c r="A25" s="14">
        <v>1999</v>
      </c>
      <c r="B25" s="22">
        <v>94822</v>
      </c>
      <c r="C25" s="191">
        <v>584979</v>
      </c>
      <c r="D25" s="23">
        <v>280270</v>
      </c>
      <c r="E25" s="23">
        <v>54918</v>
      </c>
      <c r="F25" s="192">
        <v>249791</v>
      </c>
      <c r="G25" s="23">
        <v>490157</v>
      </c>
      <c r="H25" s="23">
        <v>224653</v>
      </c>
      <c r="I25" s="23">
        <v>52436</v>
      </c>
      <c r="J25" s="23">
        <v>213068</v>
      </c>
    </row>
    <row r="26" spans="1:10" ht="8.1" customHeight="1">
      <c r="A26" s="14"/>
      <c r="B26" s="294"/>
      <c r="C26" s="334"/>
      <c r="D26" s="295"/>
      <c r="E26" s="295"/>
      <c r="F26" s="335"/>
      <c r="G26" s="295"/>
      <c r="H26" s="295"/>
      <c r="I26" s="295"/>
      <c r="J26" s="295"/>
    </row>
    <row r="27" spans="1:10" ht="17.850000000000001" customHeight="1">
      <c r="A27" s="14">
        <v>2000</v>
      </c>
      <c r="B27" s="22">
        <v>150252</v>
      </c>
      <c r="C27" s="191">
        <v>586363</v>
      </c>
      <c r="D27" s="23">
        <v>278392</v>
      </c>
      <c r="E27" s="23">
        <v>52871</v>
      </c>
      <c r="F27" s="192">
        <v>255100</v>
      </c>
      <c r="G27" s="23">
        <v>436111</v>
      </c>
      <c r="H27" s="23">
        <v>195515</v>
      </c>
      <c r="I27" s="23">
        <v>46583</v>
      </c>
      <c r="J27" s="23">
        <v>194013</v>
      </c>
    </row>
    <row r="28" spans="1:10" ht="17.850000000000001" customHeight="1">
      <c r="A28" s="14">
        <v>2001</v>
      </c>
      <c r="B28" s="22">
        <v>136115</v>
      </c>
      <c r="C28" s="191">
        <v>585872</v>
      </c>
      <c r="D28" s="23">
        <v>271757</v>
      </c>
      <c r="E28" s="23">
        <v>53997</v>
      </c>
      <c r="F28" s="192">
        <v>260118</v>
      </c>
      <c r="G28" s="23">
        <v>449757</v>
      </c>
      <c r="H28" s="23">
        <v>199217</v>
      </c>
      <c r="I28" s="23">
        <v>48093</v>
      </c>
      <c r="J28" s="23">
        <v>202447</v>
      </c>
    </row>
    <row r="29" spans="1:10" ht="17.850000000000001" customHeight="1">
      <c r="A29" s="14">
        <v>2002</v>
      </c>
      <c r="B29" s="22">
        <v>209591</v>
      </c>
      <c r="C29" s="191">
        <v>625435</v>
      </c>
      <c r="D29" s="23">
        <v>278843</v>
      </c>
      <c r="E29" s="23">
        <v>59162</v>
      </c>
      <c r="F29" s="192">
        <v>287430</v>
      </c>
      <c r="G29" s="23">
        <v>415844</v>
      </c>
      <c r="H29" s="381">
        <v>179560</v>
      </c>
      <c r="I29" s="23">
        <v>44737</v>
      </c>
      <c r="J29" s="23">
        <v>191547</v>
      </c>
    </row>
    <row r="30" spans="1:10" ht="17.850000000000001" customHeight="1">
      <c r="A30" s="14">
        <v>2003</v>
      </c>
      <c r="B30" s="22">
        <v>136904</v>
      </c>
      <c r="C30" s="191">
        <v>610572</v>
      </c>
      <c r="D30" s="23">
        <v>264820</v>
      </c>
      <c r="E30" s="23">
        <v>55314</v>
      </c>
      <c r="F30" s="192">
        <v>290438</v>
      </c>
      <c r="G30" s="23">
        <v>473668</v>
      </c>
      <c r="H30" s="23">
        <v>199355</v>
      </c>
      <c r="I30" s="23">
        <v>49703</v>
      </c>
      <c r="J30" s="23">
        <v>224610</v>
      </c>
    </row>
    <row r="31" spans="1:10" ht="17.850000000000001" customHeight="1">
      <c r="A31" s="14">
        <v>2004</v>
      </c>
      <c r="B31" s="22">
        <v>140336</v>
      </c>
      <c r="C31" s="191">
        <v>588522</v>
      </c>
      <c r="D31" s="23">
        <v>252011</v>
      </c>
      <c r="E31" s="23">
        <v>52697</v>
      </c>
      <c r="F31" s="192">
        <v>283814</v>
      </c>
      <c r="G31" s="23">
        <v>448186</v>
      </c>
      <c r="H31" s="23">
        <v>186318</v>
      </c>
      <c r="I31" s="23">
        <v>46576</v>
      </c>
      <c r="J31" s="23">
        <v>215292</v>
      </c>
    </row>
    <row r="32" spans="1:10" ht="17.850000000000001" customHeight="1">
      <c r="A32" s="14">
        <v>2005</v>
      </c>
      <c r="B32" s="22">
        <v>128809</v>
      </c>
      <c r="C32" s="191">
        <v>574521</v>
      </c>
      <c r="D32" s="23">
        <v>241172</v>
      </c>
      <c r="E32" s="23">
        <v>50035</v>
      </c>
      <c r="F32" s="192">
        <v>283314</v>
      </c>
      <c r="G32" s="23">
        <v>445712</v>
      </c>
      <c r="H32" s="23">
        <v>183110</v>
      </c>
      <c r="I32" s="23">
        <v>44881</v>
      </c>
      <c r="J32" s="23">
        <v>217721</v>
      </c>
    </row>
    <row r="33" spans="1:12" ht="17.850000000000001" customHeight="1">
      <c r="A33" s="14">
        <v>2006</v>
      </c>
      <c r="B33" s="22">
        <v>111700</v>
      </c>
      <c r="C33" s="191">
        <v>586440</v>
      </c>
      <c r="D33" s="23">
        <v>252647</v>
      </c>
      <c r="E33" s="23">
        <v>49987</v>
      </c>
      <c r="F33" s="192">
        <v>283806</v>
      </c>
      <c r="G33" s="23">
        <v>474740</v>
      </c>
      <c r="H33" s="23">
        <v>192251</v>
      </c>
      <c r="I33" s="23">
        <v>46399</v>
      </c>
      <c r="J33" s="23">
        <v>236090</v>
      </c>
    </row>
    <row r="34" spans="1:12" ht="17.850000000000001" customHeight="1">
      <c r="A34" s="14">
        <v>2007</v>
      </c>
      <c r="B34" s="22">
        <v>82938</v>
      </c>
      <c r="C34" s="191">
        <v>578530</v>
      </c>
      <c r="D34" s="23">
        <v>251208</v>
      </c>
      <c r="E34" s="23">
        <v>53091</v>
      </c>
      <c r="F34" s="192">
        <v>274231</v>
      </c>
      <c r="G34" s="23">
        <v>495592</v>
      </c>
      <c r="H34" s="23">
        <v>199386</v>
      </c>
      <c r="I34" s="23">
        <v>50122</v>
      </c>
      <c r="J34" s="23">
        <v>246084</v>
      </c>
    </row>
    <row r="35" spans="1:12" ht="17.850000000000001" customHeight="1">
      <c r="A35" s="14">
        <v>2008</v>
      </c>
      <c r="B35" s="22">
        <v>52022</v>
      </c>
      <c r="C35" s="191">
        <v>536187</v>
      </c>
      <c r="D35" s="23">
        <v>235151</v>
      </c>
      <c r="E35" s="23">
        <v>48367</v>
      </c>
      <c r="F35" s="192">
        <v>252669</v>
      </c>
      <c r="G35" s="23">
        <v>484165</v>
      </c>
      <c r="H35" s="23">
        <v>194238</v>
      </c>
      <c r="I35" s="23">
        <v>50185</v>
      </c>
      <c r="J35" s="23">
        <v>239742</v>
      </c>
    </row>
    <row r="36" spans="1:12" ht="17.850000000000001" customHeight="1">
      <c r="A36" s="14">
        <v>2009</v>
      </c>
      <c r="B36" s="22">
        <v>43987</v>
      </c>
      <c r="C36" s="191">
        <v>525000</v>
      </c>
      <c r="D36" s="23">
        <v>229523</v>
      </c>
      <c r="E36" s="23">
        <v>44417</v>
      </c>
      <c r="F36" s="192">
        <v>251060</v>
      </c>
      <c r="G36" s="23">
        <v>481013</v>
      </c>
      <c r="H36" s="23">
        <v>194923</v>
      </c>
      <c r="I36" s="23">
        <v>47841</v>
      </c>
      <c r="J36" s="23">
        <v>238249</v>
      </c>
    </row>
    <row r="37" spans="1:12" ht="8.1" customHeight="1">
      <c r="A37" s="14"/>
      <c r="B37" s="294"/>
      <c r="C37" s="334"/>
      <c r="D37" s="295"/>
      <c r="E37" s="295"/>
      <c r="F37" s="335"/>
      <c r="G37" s="295"/>
      <c r="H37" s="295"/>
      <c r="I37" s="295"/>
      <c r="J37" s="295"/>
    </row>
    <row r="38" spans="1:12" ht="17.850000000000001" customHeight="1">
      <c r="A38" s="14">
        <v>2010</v>
      </c>
      <c r="B38" s="22">
        <v>31026</v>
      </c>
      <c r="C38" s="191">
        <v>507549</v>
      </c>
      <c r="D38" s="23">
        <v>211674</v>
      </c>
      <c r="E38" s="23">
        <v>44090</v>
      </c>
      <c r="F38" s="192">
        <v>251785</v>
      </c>
      <c r="G38" s="191">
        <v>476523</v>
      </c>
      <c r="H38" s="23">
        <v>191513</v>
      </c>
      <c r="I38" s="23">
        <v>47772</v>
      </c>
      <c r="J38" s="23">
        <v>237238</v>
      </c>
      <c r="K38" s="193"/>
      <c r="L38" s="193"/>
    </row>
    <row r="39" spans="1:12" ht="17.850000000000001" customHeight="1">
      <c r="A39" s="14">
        <v>2011</v>
      </c>
      <c r="B39" s="294">
        <v>-8450</v>
      </c>
      <c r="C39" s="191">
        <v>480485</v>
      </c>
      <c r="D39" s="23">
        <v>201211</v>
      </c>
      <c r="E39" s="23">
        <v>43761</v>
      </c>
      <c r="F39" s="192">
        <v>235513</v>
      </c>
      <c r="G39" s="23">
        <v>488935</v>
      </c>
      <c r="H39" s="23">
        <v>194272</v>
      </c>
      <c r="I39" s="23">
        <v>46977</v>
      </c>
      <c r="J39" s="23">
        <v>247686</v>
      </c>
    </row>
    <row r="40" spans="1:12" ht="17.850000000000001" customHeight="1">
      <c r="A40" s="14">
        <v>2012</v>
      </c>
      <c r="B40" s="294">
        <v>6900</v>
      </c>
      <c r="C40" s="191">
        <v>475042</v>
      </c>
      <c r="D40" s="23">
        <v>199590</v>
      </c>
      <c r="E40" s="23">
        <v>44317</v>
      </c>
      <c r="F40" s="192">
        <v>231135</v>
      </c>
      <c r="G40" s="191">
        <v>468142</v>
      </c>
      <c r="H40" s="23">
        <v>185853</v>
      </c>
      <c r="I40" s="23">
        <v>45550</v>
      </c>
      <c r="J40" s="23">
        <v>236739</v>
      </c>
      <c r="K40" s="193"/>
      <c r="L40" s="193"/>
    </row>
    <row r="41" spans="1:12" ht="17.850000000000001" customHeight="1">
      <c r="A41" s="14">
        <v>2013</v>
      </c>
      <c r="B41" s="294">
        <v>-4384</v>
      </c>
      <c r="C41" s="191">
        <v>446672</v>
      </c>
      <c r="D41" s="23">
        <v>187601</v>
      </c>
      <c r="E41" s="23">
        <v>42264</v>
      </c>
      <c r="F41" s="192">
        <v>216807</v>
      </c>
      <c r="G41" s="191">
        <v>451056</v>
      </c>
      <c r="H41" s="23">
        <v>179407</v>
      </c>
      <c r="I41" s="23">
        <v>45784</v>
      </c>
      <c r="J41" s="23">
        <v>225865</v>
      </c>
      <c r="K41" s="193"/>
      <c r="L41" s="193"/>
    </row>
    <row r="42" spans="1:12" ht="17.850000000000001" customHeight="1">
      <c r="A42" s="14">
        <v>2014</v>
      </c>
      <c r="B42" s="294">
        <v>-21111</v>
      </c>
      <c r="C42" s="191">
        <v>451661</v>
      </c>
      <c r="D42" s="23">
        <v>191490</v>
      </c>
      <c r="E42" s="23">
        <v>42156</v>
      </c>
      <c r="F42" s="192">
        <v>218015</v>
      </c>
      <c r="G42" s="191">
        <v>472772</v>
      </c>
      <c r="H42" s="23">
        <v>187405</v>
      </c>
      <c r="I42" s="23">
        <v>47315</v>
      </c>
      <c r="J42" s="23">
        <v>238052</v>
      </c>
      <c r="K42" s="193"/>
      <c r="L42" s="193"/>
    </row>
    <row r="43" spans="1:12" ht="17.850000000000001" customHeight="1">
      <c r="A43" s="14">
        <v>2015</v>
      </c>
      <c r="B43" s="294">
        <v>-32950</v>
      </c>
      <c r="C43" s="191">
        <v>450074</v>
      </c>
      <c r="D43" s="23">
        <v>186775</v>
      </c>
      <c r="E43" s="23">
        <v>42173</v>
      </c>
      <c r="F43" s="192">
        <v>221126</v>
      </c>
      <c r="G43" s="191">
        <v>483024</v>
      </c>
      <c r="H43" s="23">
        <v>192906</v>
      </c>
      <c r="I43" s="23">
        <v>49140</v>
      </c>
      <c r="J43" s="23">
        <v>240978</v>
      </c>
      <c r="K43" s="193"/>
      <c r="L43" s="193"/>
    </row>
    <row r="44" spans="1:12" ht="17.850000000000001" customHeight="1">
      <c r="A44" s="14">
        <v>2016</v>
      </c>
      <c r="B44" s="382">
        <v>-863</v>
      </c>
      <c r="C44" s="191">
        <v>448066</v>
      </c>
      <c r="D44" s="23">
        <v>186844</v>
      </c>
      <c r="E44" s="23">
        <v>41254</v>
      </c>
      <c r="F44" s="192">
        <v>219968</v>
      </c>
      <c r="G44" s="191">
        <v>448929</v>
      </c>
      <c r="H44" s="23">
        <v>179439</v>
      </c>
      <c r="I44" s="23">
        <v>45836</v>
      </c>
      <c r="J44" s="23">
        <v>223654</v>
      </c>
      <c r="K44" s="193"/>
      <c r="L44" s="193"/>
    </row>
    <row r="45" spans="1:12" ht="17.850000000000001" customHeight="1">
      <c r="A45" s="14">
        <v>2017</v>
      </c>
      <c r="B45" s="22">
        <v>16006</v>
      </c>
      <c r="C45" s="191">
        <v>446809</v>
      </c>
      <c r="D45" s="23">
        <v>187154</v>
      </c>
      <c r="E45" s="23">
        <v>40789</v>
      </c>
      <c r="F45" s="192">
        <v>218866</v>
      </c>
      <c r="G45" s="22">
        <v>430803</v>
      </c>
      <c r="H45" s="23">
        <v>169698</v>
      </c>
      <c r="I45" s="23">
        <v>44375</v>
      </c>
      <c r="J45" s="23">
        <v>216730</v>
      </c>
      <c r="K45" s="193"/>
      <c r="L45" s="193"/>
    </row>
    <row r="46" spans="1:12" ht="17.850000000000001" customHeight="1">
      <c r="A46" s="14">
        <v>2018</v>
      </c>
      <c r="B46" s="22">
        <v>59797</v>
      </c>
      <c r="C46" s="191">
        <v>469950</v>
      </c>
      <c r="D46" s="23">
        <v>194396</v>
      </c>
      <c r="E46" s="23">
        <v>41809</v>
      </c>
      <c r="F46" s="192">
        <v>233745</v>
      </c>
      <c r="G46" s="22">
        <v>410153</v>
      </c>
      <c r="H46" s="23">
        <v>160592</v>
      </c>
      <c r="I46" s="23">
        <v>41123</v>
      </c>
      <c r="J46" s="23">
        <v>208438</v>
      </c>
      <c r="K46" s="193"/>
      <c r="L46" s="193"/>
    </row>
    <row r="47" spans="1:12" ht="17.850000000000001" customHeight="1">
      <c r="A47" s="14">
        <v>2019</v>
      </c>
      <c r="B47" s="22">
        <v>82741</v>
      </c>
      <c r="C47" s="191">
        <v>475549</v>
      </c>
      <c r="D47" s="23">
        <v>198767</v>
      </c>
      <c r="E47" s="23">
        <v>42689</v>
      </c>
      <c r="F47" s="192">
        <v>234093</v>
      </c>
      <c r="G47" s="22">
        <v>392808</v>
      </c>
      <c r="H47" s="23">
        <v>152590</v>
      </c>
      <c r="I47" s="23">
        <v>40642</v>
      </c>
      <c r="J47" s="23">
        <v>199576</v>
      </c>
      <c r="K47" s="193"/>
      <c r="L47" s="193"/>
    </row>
    <row r="48" spans="1:12" ht="8.1" customHeight="1">
      <c r="A48" s="14"/>
      <c r="B48" s="294"/>
      <c r="C48" s="334"/>
      <c r="D48" s="295"/>
      <c r="E48" s="295"/>
      <c r="F48" s="335"/>
      <c r="G48" s="294"/>
      <c r="H48" s="295"/>
      <c r="I48" s="295"/>
      <c r="J48" s="295"/>
      <c r="K48" s="193"/>
      <c r="L48" s="193"/>
    </row>
    <row r="49" spans="1:12" ht="17.850000000000001" customHeight="1">
      <c r="A49" s="14">
        <v>2020</v>
      </c>
      <c r="B49" s="22">
        <v>87775</v>
      </c>
      <c r="C49" s="191">
        <v>494723</v>
      </c>
      <c r="D49" s="23">
        <v>205230</v>
      </c>
      <c r="E49" s="23">
        <v>42346</v>
      </c>
      <c r="F49" s="192">
        <v>247147</v>
      </c>
      <c r="G49" s="22">
        <v>406948</v>
      </c>
      <c r="H49" s="23">
        <v>159122</v>
      </c>
      <c r="I49" s="23">
        <v>42772</v>
      </c>
      <c r="J49" s="23">
        <v>205054</v>
      </c>
      <c r="K49" s="193"/>
      <c r="L49" s="193"/>
    </row>
    <row r="50" spans="1:12" ht="17.850000000000001" customHeight="1">
      <c r="A50" s="14">
        <v>2021</v>
      </c>
      <c r="B50" s="22">
        <v>55697</v>
      </c>
      <c r="C50" s="191">
        <v>470631</v>
      </c>
      <c r="D50" s="23">
        <v>189571</v>
      </c>
      <c r="E50" s="23">
        <v>40757</v>
      </c>
      <c r="F50" s="192">
        <v>240303</v>
      </c>
      <c r="G50" s="22">
        <v>414934</v>
      </c>
      <c r="H50" s="23">
        <v>160391</v>
      </c>
      <c r="I50" s="23">
        <v>42075</v>
      </c>
      <c r="J50" s="23">
        <v>212468</v>
      </c>
      <c r="K50" s="193"/>
      <c r="L50" s="193"/>
    </row>
    <row r="51" spans="1:12" ht="17.850000000000001" customHeight="1">
      <c r="A51" s="14">
        <v>2022</v>
      </c>
      <c r="B51" s="22">
        <v>36643</v>
      </c>
      <c r="C51" s="191">
        <v>422720</v>
      </c>
      <c r="D51" s="23">
        <v>178692</v>
      </c>
      <c r="E51" s="23">
        <v>38075</v>
      </c>
      <c r="F51" s="192">
        <v>205953</v>
      </c>
      <c r="G51" s="22">
        <v>386077</v>
      </c>
      <c r="H51" s="23">
        <v>142298</v>
      </c>
      <c r="I51" s="23">
        <v>38572</v>
      </c>
      <c r="J51" s="23">
        <v>205207</v>
      </c>
      <c r="K51" s="193"/>
      <c r="L51" s="193"/>
    </row>
    <row r="52" spans="1:12" ht="17.850000000000001" customHeight="1">
      <c r="A52" s="14">
        <v>2023</v>
      </c>
      <c r="B52" s="22">
        <v>46869</v>
      </c>
      <c r="C52" s="191">
        <v>414945</v>
      </c>
      <c r="D52" s="23">
        <v>170384</v>
      </c>
      <c r="E52" s="23">
        <v>39798</v>
      </c>
      <c r="F52" s="192">
        <v>204763</v>
      </c>
      <c r="G52" s="22">
        <v>368076</v>
      </c>
      <c r="H52" s="23">
        <v>136092</v>
      </c>
      <c r="I52" s="23">
        <v>36727</v>
      </c>
      <c r="J52" s="23">
        <v>195257</v>
      </c>
      <c r="K52" s="193"/>
      <c r="L52" s="193"/>
    </row>
    <row r="53" spans="1:12" s="416" customFormat="1" ht="17.850000000000001" customHeight="1">
      <c r="A53" s="422">
        <v>2024</v>
      </c>
      <c r="B53" s="417">
        <v>45169</v>
      </c>
      <c r="C53" s="419">
        <v>418019</v>
      </c>
      <c r="D53" s="418">
        <v>168299</v>
      </c>
      <c r="E53" s="418">
        <v>41328</v>
      </c>
      <c r="F53" s="420">
        <v>208392</v>
      </c>
      <c r="G53" s="417">
        <v>372850</v>
      </c>
      <c r="H53" s="418">
        <v>138200</v>
      </c>
      <c r="I53" s="418">
        <v>37858</v>
      </c>
      <c r="J53" s="418">
        <v>196792</v>
      </c>
      <c r="K53" s="421"/>
      <c r="L53" s="421"/>
    </row>
    <row r="54" spans="1:12" ht="17.850000000000001" customHeight="1">
      <c r="A54" s="14">
        <v>2025</v>
      </c>
      <c r="B54" s="22">
        <v>38465</v>
      </c>
      <c r="C54" s="191">
        <v>418501</v>
      </c>
      <c r="D54" s="23">
        <v>168561</v>
      </c>
      <c r="E54" s="23">
        <v>42575</v>
      </c>
      <c r="F54" s="192">
        <v>207365</v>
      </c>
      <c r="G54" s="22">
        <v>380036</v>
      </c>
      <c r="H54" s="23">
        <v>141659</v>
      </c>
      <c r="I54" s="23">
        <v>38292</v>
      </c>
      <c r="J54" s="23">
        <v>200085</v>
      </c>
      <c r="K54" s="193"/>
      <c r="L54" s="193"/>
    </row>
    <row r="55" spans="1:12" ht="5.25" customHeight="1" thickBot="1">
      <c r="A55" s="194"/>
      <c r="B55" s="11"/>
      <c r="C55" s="195"/>
      <c r="D55" s="30"/>
      <c r="E55" s="30"/>
      <c r="F55" s="196"/>
      <c r="G55" s="30"/>
      <c r="H55" s="30"/>
      <c r="I55" s="30"/>
      <c r="J55" s="30"/>
    </row>
    <row r="56" spans="1:12">
      <c r="A56" s="197"/>
    </row>
    <row r="57" spans="1:12">
      <c r="A57" s="197"/>
    </row>
    <row r="58" spans="1:12">
      <c r="A58" s="197"/>
    </row>
    <row r="59" spans="1:12">
      <c r="A59" s="197"/>
    </row>
    <row r="60" spans="1:12">
      <c r="A60" s="197"/>
    </row>
    <row r="61" spans="1:12">
      <c r="A61" s="197"/>
    </row>
    <row r="62" spans="1:12">
      <c r="A62" s="197"/>
    </row>
    <row r="63" spans="1:12">
      <c r="A63" s="197"/>
    </row>
    <row r="64" spans="1:12">
      <c r="A64" s="197"/>
    </row>
    <row r="65" spans="1:1">
      <c r="A65" s="197"/>
    </row>
    <row r="66" spans="1:1">
      <c r="A66" s="197"/>
    </row>
    <row r="67" spans="1:1">
      <c r="A67" s="197"/>
    </row>
    <row r="68" spans="1:1">
      <c r="A68" s="197"/>
    </row>
    <row r="69" spans="1:1">
      <c r="A69" s="197"/>
    </row>
    <row r="70" spans="1:1">
      <c r="A70" s="197"/>
    </row>
    <row r="71" spans="1:1">
      <c r="A71" s="197"/>
    </row>
    <row r="72" spans="1:1">
      <c r="A72" s="197"/>
    </row>
    <row r="73" spans="1:1">
      <c r="A73" s="197"/>
    </row>
    <row r="74" spans="1:1">
      <c r="A74" s="197"/>
    </row>
    <row r="75" spans="1:1">
      <c r="A75" s="197"/>
    </row>
    <row r="76" spans="1:1">
      <c r="A76" s="197"/>
    </row>
    <row r="77" spans="1:1">
      <c r="A77" s="197"/>
    </row>
    <row r="78" spans="1:1">
      <c r="A78" s="197"/>
    </row>
    <row r="79" spans="1:1">
      <c r="A79" s="197"/>
    </row>
    <row r="80" spans="1:1">
      <c r="A80" s="197"/>
    </row>
    <row r="81" spans="1:1">
      <c r="A81" s="197"/>
    </row>
    <row r="82" spans="1:1">
      <c r="A82" s="197"/>
    </row>
    <row r="83" spans="1:1">
      <c r="A83" s="197"/>
    </row>
    <row r="84" spans="1:1">
      <c r="A84" s="197"/>
    </row>
    <row r="85" spans="1:1">
      <c r="A85" s="197"/>
    </row>
    <row r="86" spans="1:1">
      <c r="A86" s="197"/>
    </row>
    <row r="87" spans="1:1">
      <c r="A87" s="197"/>
    </row>
    <row r="88" spans="1:1">
      <c r="A88" s="197"/>
    </row>
    <row r="89" spans="1:1">
      <c r="A89" s="197"/>
    </row>
    <row r="90" spans="1:1">
      <c r="A90" s="197"/>
    </row>
    <row r="91" spans="1:1">
      <c r="A91" s="197"/>
    </row>
    <row r="92" spans="1:1">
      <c r="A92" s="197"/>
    </row>
    <row r="93" spans="1:1">
      <c r="A93" s="197"/>
    </row>
    <row r="94" spans="1:1">
      <c r="A94" s="197"/>
    </row>
    <row r="95" spans="1:1">
      <c r="A95" s="197"/>
    </row>
    <row r="96" spans="1:1">
      <c r="A96" s="197"/>
    </row>
    <row r="97" spans="1:1">
      <c r="A97" s="197"/>
    </row>
    <row r="98" spans="1:1">
      <c r="A98" s="197"/>
    </row>
    <row r="99" spans="1:1">
      <c r="A99" s="197"/>
    </row>
    <row r="100" spans="1:1">
      <c r="A100" s="197"/>
    </row>
    <row r="101" spans="1:1">
      <c r="A101" s="197"/>
    </row>
    <row r="102" spans="1:1">
      <c r="A102" s="197"/>
    </row>
    <row r="103" spans="1:1">
      <c r="A103" s="197"/>
    </row>
    <row r="104" spans="1:1">
      <c r="A104" s="197"/>
    </row>
    <row r="105" spans="1:1">
      <c r="A105" s="197"/>
    </row>
    <row r="106" spans="1:1">
      <c r="A106" s="197"/>
    </row>
    <row r="107" spans="1:1">
      <c r="A107" s="197"/>
    </row>
    <row r="108" spans="1:1">
      <c r="A108" s="197"/>
    </row>
    <row r="109" spans="1:1">
      <c r="A109" s="197"/>
    </row>
    <row r="110" spans="1:1">
      <c r="A110" s="197"/>
    </row>
    <row r="111" spans="1:1">
      <c r="A111" s="197"/>
    </row>
    <row r="112" spans="1:1">
      <c r="A112" s="197"/>
    </row>
    <row r="113" spans="1:1">
      <c r="A113" s="197"/>
    </row>
    <row r="114" spans="1:1">
      <c r="A114" s="197"/>
    </row>
    <row r="115" spans="1:1">
      <c r="A115" s="197"/>
    </row>
    <row r="116" spans="1:1">
      <c r="A116" s="197"/>
    </row>
    <row r="117" spans="1:1">
      <c r="A117" s="197"/>
    </row>
    <row r="118" spans="1:1">
      <c r="A118" s="197"/>
    </row>
    <row r="119" spans="1:1">
      <c r="A119" s="197"/>
    </row>
    <row r="120" spans="1:1">
      <c r="A120" s="197"/>
    </row>
    <row r="121" spans="1:1">
      <c r="A121" s="197"/>
    </row>
    <row r="122" spans="1:1">
      <c r="A122" s="197"/>
    </row>
    <row r="123" spans="1:1">
      <c r="A123" s="197"/>
    </row>
    <row r="124" spans="1:1">
      <c r="A124" s="197"/>
    </row>
    <row r="125" spans="1:1">
      <c r="A125" s="197"/>
    </row>
    <row r="126" spans="1:1">
      <c r="A126" s="197"/>
    </row>
    <row r="127" spans="1:1">
      <c r="A127" s="197"/>
    </row>
    <row r="128" spans="1:1">
      <c r="A128" s="197"/>
    </row>
    <row r="129" spans="1:1">
      <c r="A129" s="197"/>
    </row>
    <row r="130" spans="1:1">
      <c r="A130" s="197"/>
    </row>
    <row r="131" spans="1:1">
      <c r="A131" s="197"/>
    </row>
    <row r="132" spans="1:1">
      <c r="A132" s="197"/>
    </row>
    <row r="133" spans="1:1">
      <c r="A133" s="197"/>
    </row>
    <row r="134" spans="1:1">
      <c r="A134" s="197"/>
    </row>
    <row r="135" spans="1:1">
      <c r="A135" s="197"/>
    </row>
    <row r="136" spans="1:1">
      <c r="A136" s="197"/>
    </row>
    <row r="137" spans="1:1">
      <c r="A137" s="197"/>
    </row>
    <row r="138" spans="1:1">
      <c r="A138" s="197"/>
    </row>
    <row r="139" spans="1:1">
      <c r="A139" s="197"/>
    </row>
    <row r="140" spans="1:1">
      <c r="A140" s="197"/>
    </row>
    <row r="141" spans="1:1">
      <c r="A141" s="197"/>
    </row>
    <row r="142" spans="1:1">
      <c r="A142" s="197"/>
    </row>
    <row r="143" spans="1:1">
      <c r="A143" s="197"/>
    </row>
    <row r="144" spans="1:1">
      <c r="A144" s="197"/>
    </row>
    <row r="145" spans="1:1">
      <c r="A145" s="197"/>
    </row>
    <row r="146" spans="1:1">
      <c r="A146" s="197"/>
    </row>
    <row r="147" spans="1:1">
      <c r="A147" s="197"/>
    </row>
    <row r="148" spans="1:1">
      <c r="A148" s="197"/>
    </row>
    <row r="149" spans="1:1">
      <c r="A149" s="197"/>
    </row>
    <row r="150" spans="1:1">
      <c r="A150" s="197"/>
    </row>
    <row r="151" spans="1:1">
      <c r="A151" s="197"/>
    </row>
    <row r="152" spans="1:1">
      <c r="A152" s="197"/>
    </row>
    <row r="153" spans="1:1">
      <c r="A153" s="197"/>
    </row>
    <row r="154" spans="1:1">
      <c r="A154" s="197"/>
    </row>
    <row r="155" spans="1:1">
      <c r="A155" s="197"/>
    </row>
    <row r="156" spans="1:1">
      <c r="A156" s="197"/>
    </row>
    <row r="157" spans="1:1">
      <c r="A157" s="197"/>
    </row>
    <row r="158" spans="1:1">
      <c r="A158" s="197"/>
    </row>
    <row r="159" spans="1:1">
      <c r="A159" s="197"/>
    </row>
    <row r="160" spans="1:1">
      <c r="A160" s="197"/>
    </row>
    <row r="161" spans="1:1">
      <c r="A161" s="197"/>
    </row>
    <row r="162" spans="1:1">
      <c r="A162" s="197"/>
    </row>
    <row r="163" spans="1:1">
      <c r="A163" s="197"/>
    </row>
    <row r="164" spans="1:1">
      <c r="A164" s="197"/>
    </row>
    <row r="165" spans="1:1">
      <c r="A165" s="197"/>
    </row>
    <row r="166" spans="1:1">
      <c r="A166" s="197"/>
    </row>
    <row r="167" spans="1:1">
      <c r="A167" s="197"/>
    </row>
    <row r="168" spans="1:1">
      <c r="A168" s="197"/>
    </row>
    <row r="169" spans="1:1">
      <c r="A169" s="197"/>
    </row>
    <row r="170" spans="1:1">
      <c r="A170" s="197"/>
    </row>
    <row r="171" spans="1:1">
      <c r="A171" s="197"/>
    </row>
    <row r="172" spans="1:1">
      <c r="A172" s="197"/>
    </row>
    <row r="173" spans="1:1">
      <c r="A173" s="197"/>
    </row>
    <row r="174" spans="1:1">
      <c r="A174" s="197"/>
    </row>
    <row r="175" spans="1:1">
      <c r="A175" s="197"/>
    </row>
    <row r="176" spans="1:1">
      <c r="A176" s="197"/>
    </row>
    <row r="177" spans="1:1">
      <c r="A177" s="197"/>
    </row>
    <row r="178" spans="1:1">
      <c r="A178" s="197"/>
    </row>
    <row r="179" spans="1:1">
      <c r="A179" s="197"/>
    </row>
    <row r="180" spans="1:1">
      <c r="A180" s="197"/>
    </row>
    <row r="181" spans="1:1">
      <c r="A181" s="197"/>
    </row>
    <row r="182" spans="1:1">
      <c r="A182" s="197"/>
    </row>
    <row r="183" spans="1:1">
      <c r="A183" s="197"/>
    </row>
    <row r="184" spans="1:1">
      <c r="A184" s="197"/>
    </row>
    <row r="185" spans="1:1">
      <c r="A185" s="197"/>
    </row>
    <row r="186" spans="1:1">
      <c r="A186" s="197"/>
    </row>
    <row r="187" spans="1:1">
      <c r="A187" s="197"/>
    </row>
    <row r="188" spans="1:1">
      <c r="A188" s="197"/>
    </row>
    <row r="189" spans="1:1">
      <c r="A189" s="197"/>
    </row>
    <row r="190" spans="1:1">
      <c r="A190" s="197"/>
    </row>
    <row r="191" spans="1:1">
      <c r="A191" s="197"/>
    </row>
    <row r="192" spans="1:1">
      <c r="A192" s="197"/>
    </row>
    <row r="193" spans="1:1">
      <c r="A193" s="197"/>
    </row>
    <row r="194" spans="1:1">
      <c r="A194" s="197"/>
    </row>
    <row r="195" spans="1:1">
      <c r="A195" s="197"/>
    </row>
    <row r="196" spans="1:1">
      <c r="A196" s="197"/>
    </row>
    <row r="197" spans="1:1">
      <c r="A197" s="197"/>
    </row>
    <row r="198" spans="1:1">
      <c r="A198" s="197"/>
    </row>
    <row r="199" spans="1:1">
      <c r="A199" s="197"/>
    </row>
    <row r="200" spans="1:1">
      <c r="A200" s="197"/>
    </row>
    <row r="201" spans="1:1">
      <c r="A201" s="197"/>
    </row>
    <row r="202" spans="1:1">
      <c r="A202" s="197"/>
    </row>
    <row r="203" spans="1:1">
      <c r="A203" s="197"/>
    </row>
    <row r="204" spans="1:1">
      <c r="A204" s="197"/>
    </row>
    <row r="205" spans="1:1">
      <c r="A205" s="197"/>
    </row>
    <row r="206" spans="1:1">
      <c r="A206" s="197"/>
    </row>
    <row r="207" spans="1:1">
      <c r="A207" s="197"/>
    </row>
    <row r="208" spans="1:1">
      <c r="A208" s="197"/>
    </row>
    <row r="209" spans="1:1">
      <c r="A209" s="197"/>
    </row>
    <row r="210" spans="1:1">
      <c r="A210" s="197"/>
    </row>
    <row r="211" spans="1:1">
      <c r="A211" s="197"/>
    </row>
    <row r="212" spans="1:1">
      <c r="A212" s="197"/>
    </row>
    <row r="213" spans="1:1">
      <c r="A213" s="197"/>
    </row>
    <row r="214" spans="1:1">
      <c r="A214" s="197"/>
    </row>
    <row r="215" spans="1:1">
      <c r="A215" s="197"/>
    </row>
    <row r="216" spans="1:1">
      <c r="A216" s="197"/>
    </row>
    <row r="217" spans="1:1">
      <c r="A217" s="197"/>
    </row>
    <row r="218" spans="1:1">
      <c r="A218" s="197"/>
    </row>
    <row r="219" spans="1:1">
      <c r="A219" s="197"/>
    </row>
    <row r="220" spans="1:1">
      <c r="A220" s="197"/>
    </row>
    <row r="221" spans="1:1">
      <c r="A221" s="197"/>
    </row>
    <row r="222" spans="1:1">
      <c r="A222" s="197"/>
    </row>
    <row r="223" spans="1:1">
      <c r="A223" s="197"/>
    </row>
    <row r="224" spans="1:1">
      <c r="A224" s="197"/>
    </row>
    <row r="225" spans="1:1">
      <c r="A225" s="197"/>
    </row>
    <row r="226" spans="1:1">
      <c r="A226" s="197"/>
    </row>
    <row r="227" spans="1:1">
      <c r="A227" s="197"/>
    </row>
    <row r="228" spans="1:1">
      <c r="A228" s="197"/>
    </row>
    <row r="229" spans="1:1">
      <c r="A229" s="197"/>
    </row>
    <row r="230" spans="1:1">
      <c r="A230" s="197"/>
    </row>
    <row r="231" spans="1:1">
      <c r="A231" s="197"/>
    </row>
    <row r="232" spans="1:1">
      <c r="A232" s="197"/>
    </row>
    <row r="233" spans="1:1">
      <c r="A233" s="197"/>
    </row>
    <row r="234" spans="1:1">
      <c r="A234" s="197"/>
    </row>
    <row r="235" spans="1:1">
      <c r="A235" s="197"/>
    </row>
    <row r="236" spans="1:1">
      <c r="A236" s="197"/>
    </row>
    <row r="237" spans="1:1">
      <c r="A237" s="197"/>
    </row>
    <row r="238" spans="1:1">
      <c r="A238" s="197"/>
    </row>
    <row r="239" spans="1:1">
      <c r="A239" s="197"/>
    </row>
    <row r="240" spans="1:1">
      <c r="A240" s="197"/>
    </row>
    <row r="241" spans="1:1">
      <c r="A241" s="197"/>
    </row>
    <row r="242" spans="1:1">
      <c r="A242" s="197"/>
    </row>
    <row r="243" spans="1:1">
      <c r="A243" s="197"/>
    </row>
    <row r="244" spans="1:1">
      <c r="A244" s="197"/>
    </row>
    <row r="245" spans="1:1">
      <c r="A245" s="197"/>
    </row>
    <row r="246" spans="1:1">
      <c r="A246" s="197"/>
    </row>
    <row r="247" spans="1:1">
      <c r="A247" s="197"/>
    </row>
    <row r="248" spans="1:1">
      <c r="A248" s="197"/>
    </row>
    <row r="249" spans="1:1">
      <c r="A249" s="197"/>
    </row>
    <row r="250" spans="1:1">
      <c r="A250" s="197"/>
    </row>
    <row r="251" spans="1:1">
      <c r="A251" s="197"/>
    </row>
    <row r="252" spans="1:1">
      <c r="A252" s="197"/>
    </row>
    <row r="253" spans="1:1">
      <c r="A253" s="197"/>
    </row>
    <row r="254" spans="1:1">
      <c r="A254" s="197"/>
    </row>
    <row r="255" spans="1:1">
      <c r="A255" s="197"/>
    </row>
    <row r="256" spans="1:1">
      <c r="A256" s="197"/>
    </row>
    <row r="257" spans="1:1">
      <c r="A257" s="197"/>
    </row>
    <row r="258" spans="1:1">
      <c r="A258" s="197"/>
    </row>
    <row r="259" spans="1:1">
      <c r="A259" s="197"/>
    </row>
    <row r="260" spans="1:1">
      <c r="A260" s="197"/>
    </row>
    <row r="261" spans="1:1">
      <c r="A261" s="197"/>
    </row>
    <row r="262" spans="1:1">
      <c r="A262" s="197"/>
    </row>
    <row r="263" spans="1:1">
      <c r="A263" s="197"/>
    </row>
    <row r="264" spans="1:1">
      <c r="A264" s="197"/>
    </row>
    <row r="265" spans="1:1">
      <c r="A265" s="197"/>
    </row>
    <row r="266" spans="1:1">
      <c r="A266" s="197"/>
    </row>
    <row r="267" spans="1:1">
      <c r="A267" s="197"/>
    </row>
    <row r="268" spans="1:1">
      <c r="A268" s="197"/>
    </row>
    <row r="269" spans="1:1">
      <c r="A269" s="197"/>
    </row>
    <row r="270" spans="1:1">
      <c r="A270" s="197"/>
    </row>
    <row r="271" spans="1:1">
      <c r="A271" s="197"/>
    </row>
    <row r="272" spans="1:1">
      <c r="A272" s="197"/>
    </row>
    <row r="273" spans="1:1">
      <c r="A273" s="197"/>
    </row>
    <row r="274" spans="1:1">
      <c r="A274" s="197"/>
    </row>
    <row r="275" spans="1:1">
      <c r="A275" s="197"/>
    </row>
    <row r="276" spans="1:1">
      <c r="A276" s="197"/>
    </row>
    <row r="277" spans="1:1">
      <c r="A277" s="197"/>
    </row>
    <row r="278" spans="1:1">
      <c r="A278" s="197"/>
    </row>
    <row r="279" spans="1:1">
      <c r="A279" s="197"/>
    </row>
    <row r="280" spans="1:1">
      <c r="A280" s="197"/>
    </row>
    <row r="281" spans="1:1">
      <c r="A281" s="197"/>
    </row>
    <row r="282" spans="1:1">
      <c r="A282" s="197"/>
    </row>
    <row r="283" spans="1:1">
      <c r="A283" s="197"/>
    </row>
    <row r="284" spans="1:1">
      <c r="A284" s="197"/>
    </row>
    <row r="285" spans="1:1">
      <c r="A285" s="197"/>
    </row>
    <row r="286" spans="1:1">
      <c r="A286" s="197"/>
    </row>
    <row r="287" spans="1:1">
      <c r="A287" s="197"/>
    </row>
    <row r="288" spans="1:1">
      <c r="A288" s="197"/>
    </row>
    <row r="289" spans="1:1">
      <c r="A289" s="197"/>
    </row>
    <row r="290" spans="1:1">
      <c r="A290" s="197"/>
    </row>
    <row r="291" spans="1:1">
      <c r="A291" s="197"/>
    </row>
    <row r="292" spans="1:1">
      <c r="A292" s="197"/>
    </row>
    <row r="293" spans="1:1">
      <c r="A293" s="197"/>
    </row>
    <row r="294" spans="1:1">
      <c r="A294" s="197"/>
    </row>
    <row r="295" spans="1:1">
      <c r="A295" s="197"/>
    </row>
    <row r="296" spans="1:1">
      <c r="A296" s="197"/>
    </row>
    <row r="297" spans="1:1">
      <c r="A297" s="197"/>
    </row>
    <row r="298" spans="1:1">
      <c r="A298" s="197"/>
    </row>
    <row r="299" spans="1:1">
      <c r="A299" s="197"/>
    </row>
    <row r="300" spans="1:1">
      <c r="A300" s="197"/>
    </row>
    <row r="301" spans="1:1">
      <c r="A301" s="197"/>
    </row>
    <row r="302" spans="1:1">
      <c r="A302" s="197"/>
    </row>
    <row r="303" spans="1:1">
      <c r="A303" s="197"/>
    </row>
    <row r="304" spans="1:1">
      <c r="A304" s="197"/>
    </row>
    <row r="305" spans="1:1">
      <c r="A305" s="197"/>
    </row>
    <row r="306" spans="1:1">
      <c r="A306" s="197"/>
    </row>
    <row r="307" spans="1:1">
      <c r="A307" s="197"/>
    </row>
    <row r="308" spans="1:1">
      <c r="A308" s="197"/>
    </row>
    <row r="309" spans="1:1">
      <c r="A309" s="197"/>
    </row>
    <row r="310" spans="1:1">
      <c r="A310" s="197"/>
    </row>
    <row r="311" spans="1:1">
      <c r="A311" s="197"/>
    </row>
    <row r="312" spans="1:1">
      <c r="A312" s="197"/>
    </row>
    <row r="313" spans="1:1">
      <c r="A313" s="197"/>
    </row>
    <row r="314" spans="1:1">
      <c r="A314" s="197"/>
    </row>
    <row r="315" spans="1:1">
      <c r="A315" s="197"/>
    </row>
    <row r="316" spans="1:1">
      <c r="A316" s="197"/>
    </row>
    <row r="317" spans="1:1">
      <c r="A317" s="197"/>
    </row>
    <row r="318" spans="1:1">
      <c r="A318" s="197"/>
    </row>
    <row r="319" spans="1:1">
      <c r="A319" s="197"/>
    </row>
    <row r="320" spans="1:1">
      <c r="A320" s="197"/>
    </row>
    <row r="321" spans="1:1">
      <c r="A321" s="197"/>
    </row>
    <row r="322" spans="1:1">
      <c r="A322" s="197"/>
    </row>
    <row r="323" spans="1:1">
      <c r="A323" s="197"/>
    </row>
    <row r="324" spans="1:1">
      <c r="A324" s="197"/>
    </row>
    <row r="325" spans="1:1">
      <c r="A325" s="197"/>
    </row>
    <row r="326" spans="1:1">
      <c r="A326" s="197"/>
    </row>
    <row r="327" spans="1:1">
      <c r="A327" s="197"/>
    </row>
    <row r="328" spans="1:1">
      <c r="A328" s="197"/>
    </row>
    <row r="329" spans="1:1">
      <c r="A329" s="197"/>
    </row>
    <row r="330" spans="1:1">
      <c r="A330" s="197"/>
    </row>
    <row r="331" spans="1:1">
      <c r="A331" s="197"/>
    </row>
    <row r="332" spans="1:1">
      <c r="A332" s="197"/>
    </row>
    <row r="333" spans="1:1">
      <c r="A333" s="197"/>
    </row>
    <row r="334" spans="1:1">
      <c r="A334" s="197"/>
    </row>
    <row r="335" spans="1:1">
      <c r="A335" s="197"/>
    </row>
    <row r="336" spans="1:1">
      <c r="A336" s="197"/>
    </row>
    <row r="337" spans="1:1">
      <c r="A337" s="197"/>
    </row>
    <row r="338" spans="1:1">
      <c r="A338" s="197"/>
    </row>
    <row r="339" spans="1:1">
      <c r="A339" s="197"/>
    </row>
    <row r="340" spans="1:1">
      <c r="A340" s="197"/>
    </row>
    <row r="341" spans="1:1">
      <c r="A341" s="197"/>
    </row>
    <row r="342" spans="1:1">
      <c r="A342" s="197"/>
    </row>
    <row r="343" spans="1:1">
      <c r="A343" s="197"/>
    </row>
    <row r="344" spans="1:1">
      <c r="A344" s="197"/>
    </row>
    <row r="345" spans="1:1">
      <c r="A345" s="197"/>
    </row>
    <row r="346" spans="1:1">
      <c r="A346" s="197"/>
    </row>
    <row r="347" spans="1:1">
      <c r="A347" s="197"/>
    </row>
    <row r="348" spans="1:1">
      <c r="A348" s="197"/>
    </row>
    <row r="349" spans="1:1">
      <c r="A349" s="197"/>
    </row>
    <row r="350" spans="1:1">
      <c r="A350" s="197"/>
    </row>
    <row r="351" spans="1:1">
      <c r="A351" s="197"/>
    </row>
    <row r="352" spans="1:1">
      <c r="A352" s="197"/>
    </row>
    <row r="353" spans="1:1">
      <c r="A353" s="197"/>
    </row>
    <row r="354" spans="1:1">
      <c r="A354" s="197"/>
    </row>
    <row r="355" spans="1:1">
      <c r="A355" s="197"/>
    </row>
    <row r="356" spans="1:1">
      <c r="A356" s="197"/>
    </row>
    <row r="357" spans="1:1">
      <c r="A357" s="197"/>
    </row>
    <row r="358" spans="1:1">
      <c r="A358" s="197"/>
    </row>
    <row r="359" spans="1:1">
      <c r="A359" s="197"/>
    </row>
    <row r="360" spans="1:1">
      <c r="A360" s="197"/>
    </row>
    <row r="361" spans="1:1">
      <c r="A361" s="197"/>
    </row>
    <row r="362" spans="1:1">
      <c r="A362" s="197"/>
    </row>
    <row r="363" spans="1:1">
      <c r="A363" s="197"/>
    </row>
    <row r="364" spans="1:1">
      <c r="A364" s="197"/>
    </row>
    <row r="365" spans="1:1">
      <c r="A365" s="197"/>
    </row>
    <row r="366" spans="1:1">
      <c r="A366" s="197"/>
    </row>
    <row r="367" spans="1:1">
      <c r="A367" s="197"/>
    </row>
    <row r="368" spans="1:1">
      <c r="A368" s="197"/>
    </row>
    <row r="369" spans="1:1">
      <c r="A369" s="197"/>
    </row>
    <row r="370" spans="1:1">
      <c r="A370" s="197"/>
    </row>
    <row r="371" spans="1:1">
      <c r="A371" s="197"/>
    </row>
    <row r="372" spans="1:1">
      <c r="A372" s="197"/>
    </row>
    <row r="373" spans="1:1">
      <c r="A373" s="197"/>
    </row>
    <row r="374" spans="1:1">
      <c r="A374" s="197"/>
    </row>
    <row r="375" spans="1:1">
      <c r="A375" s="197"/>
    </row>
    <row r="376" spans="1:1">
      <c r="A376" s="197"/>
    </row>
    <row r="377" spans="1:1">
      <c r="A377" s="197"/>
    </row>
    <row r="378" spans="1:1">
      <c r="A378" s="197"/>
    </row>
    <row r="379" spans="1:1">
      <c r="A379" s="197"/>
    </row>
    <row r="380" spans="1:1">
      <c r="A380" s="197"/>
    </row>
    <row r="381" spans="1:1">
      <c r="A381" s="197"/>
    </row>
    <row r="382" spans="1:1">
      <c r="A382" s="197"/>
    </row>
    <row r="383" spans="1:1">
      <c r="A383" s="197"/>
    </row>
    <row r="384" spans="1:1">
      <c r="A384" s="197"/>
    </row>
    <row r="385" spans="1:1">
      <c r="A385" s="197"/>
    </row>
    <row r="386" spans="1:1">
      <c r="A386" s="197"/>
    </row>
    <row r="387" spans="1:1">
      <c r="A387" s="197"/>
    </row>
    <row r="388" spans="1:1">
      <c r="A388" s="197"/>
    </row>
    <row r="389" spans="1:1">
      <c r="A389" s="197"/>
    </row>
    <row r="390" spans="1:1">
      <c r="A390" s="197"/>
    </row>
    <row r="391" spans="1:1">
      <c r="A391" s="197"/>
    </row>
    <row r="392" spans="1:1">
      <c r="A392" s="197"/>
    </row>
    <row r="393" spans="1:1">
      <c r="A393" s="197"/>
    </row>
    <row r="394" spans="1:1">
      <c r="A394" s="197"/>
    </row>
    <row r="395" spans="1:1">
      <c r="A395" s="197"/>
    </row>
    <row r="396" spans="1:1">
      <c r="A396" s="197"/>
    </row>
    <row r="397" spans="1:1">
      <c r="A397" s="197"/>
    </row>
    <row r="398" spans="1:1">
      <c r="A398" s="197"/>
    </row>
    <row r="399" spans="1:1">
      <c r="A399" s="197"/>
    </row>
    <row r="400" spans="1:1">
      <c r="A400" s="197"/>
    </row>
    <row r="401" spans="1:1">
      <c r="A401" s="197"/>
    </row>
    <row r="402" spans="1:1">
      <c r="A402" s="197"/>
    </row>
    <row r="403" spans="1:1">
      <c r="A403" s="197"/>
    </row>
    <row r="404" spans="1:1">
      <c r="A404" s="197"/>
    </row>
    <row r="405" spans="1:1">
      <c r="A405" s="197"/>
    </row>
    <row r="406" spans="1:1">
      <c r="A406" s="197"/>
    </row>
    <row r="407" spans="1:1">
      <c r="A407" s="197"/>
    </row>
    <row r="408" spans="1:1">
      <c r="A408" s="197"/>
    </row>
    <row r="409" spans="1:1">
      <c r="A409" s="197"/>
    </row>
    <row r="410" spans="1:1">
      <c r="A410" s="197"/>
    </row>
    <row r="411" spans="1:1">
      <c r="A411" s="197"/>
    </row>
    <row r="412" spans="1:1">
      <c r="A412" s="197"/>
    </row>
    <row r="413" spans="1:1">
      <c r="A413" s="197"/>
    </row>
    <row r="414" spans="1:1">
      <c r="A414" s="197"/>
    </row>
    <row r="415" spans="1:1">
      <c r="A415" s="197"/>
    </row>
    <row r="416" spans="1:1">
      <c r="A416" s="197"/>
    </row>
    <row r="417" spans="1:1">
      <c r="A417" s="197"/>
    </row>
    <row r="418" spans="1:1">
      <c r="A418" s="197"/>
    </row>
    <row r="419" spans="1:1">
      <c r="A419" s="197"/>
    </row>
    <row r="420" spans="1:1">
      <c r="A420" s="197"/>
    </row>
    <row r="421" spans="1:1">
      <c r="A421" s="197"/>
    </row>
    <row r="422" spans="1:1">
      <c r="A422" s="197"/>
    </row>
    <row r="423" spans="1:1">
      <c r="A423" s="197"/>
    </row>
    <row r="424" spans="1:1">
      <c r="A424" s="197"/>
    </row>
    <row r="425" spans="1:1">
      <c r="A425" s="197"/>
    </row>
    <row r="426" spans="1:1">
      <c r="A426" s="197"/>
    </row>
    <row r="427" spans="1:1">
      <c r="A427" s="197"/>
    </row>
    <row r="428" spans="1:1">
      <c r="A428" s="197"/>
    </row>
    <row r="429" spans="1:1">
      <c r="A429" s="197"/>
    </row>
    <row r="430" spans="1:1">
      <c r="A430" s="197"/>
    </row>
    <row r="431" spans="1:1">
      <c r="A431" s="197"/>
    </row>
    <row r="432" spans="1:1">
      <c r="A432" s="197"/>
    </row>
    <row r="433" spans="1:1">
      <c r="A433" s="197"/>
    </row>
    <row r="434" spans="1:1">
      <c r="A434" s="197"/>
    </row>
    <row r="435" spans="1:1">
      <c r="A435" s="197"/>
    </row>
    <row r="436" spans="1:1">
      <c r="A436" s="197"/>
    </row>
    <row r="437" spans="1:1">
      <c r="A437" s="197"/>
    </row>
    <row r="438" spans="1:1">
      <c r="A438" s="197"/>
    </row>
    <row r="439" spans="1:1">
      <c r="A439" s="197"/>
    </row>
    <row r="440" spans="1:1">
      <c r="A440" s="197"/>
    </row>
    <row r="441" spans="1:1">
      <c r="A441" s="197"/>
    </row>
    <row r="442" spans="1:1">
      <c r="A442" s="197"/>
    </row>
    <row r="443" spans="1:1">
      <c r="A443" s="197"/>
    </row>
    <row r="444" spans="1:1">
      <c r="A444" s="197"/>
    </row>
    <row r="445" spans="1:1">
      <c r="A445" s="197"/>
    </row>
    <row r="446" spans="1:1">
      <c r="A446" s="197"/>
    </row>
    <row r="447" spans="1:1">
      <c r="A447" s="197"/>
    </row>
    <row r="448" spans="1:1">
      <c r="A448" s="197"/>
    </row>
    <row r="449" spans="1:1">
      <c r="A449" s="197"/>
    </row>
    <row r="450" spans="1:1">
      <c r="A450" s="197"/>
    </row>
    <row r="451" spans="1:1">
      <c r="A451" s="197"/>
    </row>
    <row r="452" spans="1:1">
      <c r="A452" s="197"/>
    </row>
    <row r="453" spans="1:1">
      <c r="A453" s="197"/>
    </row>
    <row r="454" spans="1:1">
      <c r="A454" s="197"/>
    </row>
    <row r="455" spans="1:1">
      <c r="A455" s="197"/>
    </row>
    <row r="456" spans="1:1">
      <c r="A456" s="197"/>
    </row>
    <row r="457" spans="1:1">
      <c r="A457" s="197"/>
    </row>
    <row r="458" spans="1:1">
      <c r="A458" s="197"/>
    </row>
    <row r="459" spans="1:1">
      <c r="A459" s="197"/>
    </row>
    <row r="460" spans="1:1">
      <c r="A460" s="197"/>
    </row>
    <row r="461" spans="1:1">
      <c r="A461" s="197"/>
    </row>
    <row r="462" spans="1:1">
      <c r="A462" s="197"/>
    </row>
    <row r="463" spans="1:1">
      <c r="A463" s="197"/>
    </row>
    <row r="464" spans="1:1">
      <c r="A464" s="197"/>
    </row>
    <row r="465" spans="1:1">
      <c r="A465" s="197"/>
    </row>
    <row r="466" spans="1:1">
      <c r="A466" s="197"/>
    </row>
    <row r="467" spans="1:1">
      <c r="A467" s="197"/>
    </row>
    <row r="468" spans="1:1">
      <c r="A468" s="197"/>
    </row>
    <row r="469" spans="1:1">
      <c r="A469" s="197"/>
    </row>
    <row r="470" spans="1:1">
      <c r="A470" s="197"/>
    </row>
    <row r="471" spans="1:1">
      <c r="A471" s="197"/>
    </row>
  </sheetData>
  <mergeCells count="5">
    <mergeCell ref="A1:J1"/>
    <mergeCell ref="A3:A4"/>
    <mergeCell ref="B3:B4"/>
    <mergeCell ref="C3:F3"/>
    <mergeCell ref="G3:J3"/>
  </mergeCells>
  <phoneticPr fontId="2" type="noConversion"/>
  <conditionalFormatting sqref="B16:J51 B54:J54">
    <cfRule type="cellIs" dxfId="3" priority="2" stopIfTrue="1" operator="between">
      <formula>-1</formula>
      <formula>-999</formula>
    </cfRule>
  </conditionalFormatting>
  <conditionalFormatting sqref="B52:J53">
    <cfRule type="cellIs" dxfId="2" priority="1" stopIfTrue="1" operator="between">
      <formula>-1</formula>
      <formula>-999</formula>
    </cfRule>
  </conditionalFormatting>
  <printOptions horizontalCentered="1"/>
  <pageMargins left="0.78740157480314965" right="0.78740157480314965" top="0.78740157480314965" bottom="0.47244094488188981" header="0.51181102362204722" footer="1.0629921259842521"/>
  <pageSetup paperSize="9" scale="95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O54"/>
  <sheetViews>
    <sheetView showGridLines="0" view="pageBreakPreview" zoomScaleNormal="100" workbookViewId="0">
      <selection sqref="A1:J1"/>
    </sheetView>
  </sheetViews>
  <sheetFormatPr defaultRowHeight="15" customHeight="1"/>
  <cols>
    <col min="1" max="1" width="9.625" style="119" customWidth="1"/>
    <col min="2" max="2" width="10.125" style="122" customWidth="1"/>
    <col min="3" max="4" width="8.625" style="121" customWidth="1"/>
    <col min="5" max="6" width="10.125" style="122" customWidth="1"/>
    <col min="7" max="10" width="8.625" style="121" customWidth="1"/>
    <col min="11" max="16384" width="9" style="119"/>
  </cols>
  <sheetData>
    <row r="1" spans="1:11" customFormat="1" ht="18.75">
      <c r="A1" s="469" t="str">
        <f>"9. 월별 인구이동 추이, "&amp;LEFT(A7,4)&amp;"-"&amp;표지!G5</f>
        <v>9. 월별 인구이동 추이, 2023-2025</v>
      </c>
      <c r="B1" s="469"/>
      <c r="C1" s="469"/>
      <c r="D1" s="469"/>
      <c r="E1" s="469"/>
      <c r="F1" s="469"/>
      <c r="G1" s="469"/>
      <c r="H1" s="469"/>
      <c r="I1" s="469"/>
      <c r="J1" s="469"/>
    </row>
    <row r="2" spans="1:11" customFormat="1" ht="15" customHeight="1" thickBot="1">
      <c r="A2" s="5"/>
      <c r="B2" s="16"/>
      <c r="C2" s="4"/>
      <c r="D2" s="27"/>
      <c r="E2" s="27"/>
      <c r="F2" s="27"/>
      <c r="G2" s="27"/>
      <c r="H2" s="27"/>
      <c r="I2" s="27"/>
      <c r="J2" s="28" t="s">
        <v>154</v>
      </c>
    </row>
    <row r="3" spans="1:11" ht="15" customHeight="1">
      <c r="A3" s="531" t="s">
        <v>108</v>
      </c>
      <c r="B3" s="534" t="s">
        <v>82</v>
      </c>
      <c r="C3" s="535"/>
      <c r="D3" s="535"/>
      <c r="E3" s="535"/>
      <c r="F3" s="536"/>
      <c r="G3" s="537" t="s">
        <v>83</v>
      </c>
      <c r="H3" s="538"/>
      <c r="I3" s="538"/>
      <c r="J3" s="538"/>
    </row>
    <row r="4" spans="1:11" ht="8.25" customHeight="1">
      <c r="A4" s="532"/>
      <c r="B4" s="539" t="s">
        <v>74</v>
      </c>
      <c r="C4" s="140"/>
      <c r="D4" s="141"/>
      <c r="E4" s="542" t="s">
        <v>85</v>
      </c>
      <c r="F4" s="542" t="s">
        <v>86</v>
      </c>
      <c r="G4" s="545" t="s">
        <v>84</v>
      </c>
      <c r="H4" s="141"/>
      <c r="I4" s="548" t="s">
        <v>85</v>
      </c>
      <c r="J4" s="545" t="s">
        <v>86</v>
      </c>
    </row>
    <row r="5" spans="1:11" ht="12.75" customHeight="1">
      <c r="A5" s="532"/>
      <c r="B5" s="540"/>
      <c r="C5" s="142" t="s">
        <v>87</v>
      </c>
      <c r="D5" s="142" t="s">
        <v>87</v>
      </c>
      <c r="E5" s="543"/>
      <c r="F5" s="543"/>
      <c r="G5" s="546"/>
      <c r="H5" s="142" t="s">
        <v>87</v>
      </c>
      <c r="I5" s="549"/>
      <c r="J5" s="546"/>
    </row>
    <row r="6" spans="1:11" ht="12.75" customHeight="1">
      <c r="A6" s="533"/>
      <c r="B6" s="541"/>
      <c r="C6" s="143" t="s">
        <v>88</v>
      </c>
      <c r="D6" s="143" t="s">
        <v>89</v>
      </c>
      <c r="E6" s="544"/>
      <c r="F6" s="544"/>
      <c r="G6" s="547"/>
      <c r="H6" s="143" t="s">
        <v>90</v>
      </c>
      <c r="I6" s="550"/>
      <c r="J6" s="547"/>
    </row>
    <row r="7" spans="1:11" s="182" customFormat="1" ht="20.100000000000001" customHeight="1">
      <c r="A7" s="147" t="s">
        <v>462</v>
      </c>
      <c r="B7" s="345">
        <v>6128738</v>
      </c>
      <c r="C7" s="388">
        <v>-0.38063085200000002</v>
      </c>
      <c r="D7" s="388">
        <v>-0.38063085200000002</v>
      </c>
      <c r="E7" s="346">
        <v>3986196</v>
      </c>
      <c r="F7" s="346">
        <v>2142542</v>
      </c>
      <c r="G7" s="128">
        <v>11.982856607</v>
      </c>
      <c r="H7" s="150">
        <v>-1.9206000000000001E-2</v>
      </c>
      <c r="I7" s="128">
        <v>7.7937766430000002</v>
      </c>
      <c r="J7" s="128">
        <v>4.1890799640000003</v>
      </c>
      <c r="K7" s="181"/>
    </row>
    <row r="8" spans="1:11" s="182" customFormat="1" ht="18" customHeight="1">
      <c r="A8" s="340" t="s">
        <v>463</v>
      </c>
      <c r="B8" s="153">
        <v>6283319</v>
      </c>
      <c r="C8" s="383">
        <v>2.5222321459999999</v>
      </c>
      <c r="D8" s="383">
        <v>2.5222321459999999</v>
      </c>
      <c r="E8" s="342">
        <v>4108792</v>
      </c>
      <c r="F8" s="342">
        <v>2174527</v>
      </c>
      <c r="G8" s="384">
        <v>12.311240696</v>
      </c>
      <c r="H8" s="385">
        <v>0.32838408899999999</v>
      </c>
      <c r="I8" s="384">
        <v>8.0505744309999994</v>
      </c>
      <c r="J8" s="384">
        <v>4.2606662650000002</v>
      </c>
      <c r="K8" s="181"/>
    </row>
    <row r="9" spans="1:11" s="182" customFormat="1" ht="20.100000000000001" customHeight="1">
      <c r="A9" s="347" t="s">
        <v>464</v>
      </c>
      <c r="B9" s="349">
        <v>6117784</v>
      </c>
      <c r="C9" s="391">
        <v>-2.6345152939999998</v>
      </c>
      <c r="D9" s="391">
        <v>-2.6345152939999998</v>
      </c>
      <c r="E9" s="348">
        <v>3931871</v>
      </c>
      <c r="F9" s="348">
        <v>2185913</v>
      </c>
      <c r="G9" s="392">
        <v>12.010031615999999</v>
      </c>
      <c r="H9" s="393">
        <v>-0.30120908000000002</v>
      </c>
      <c r="I9" s="392">
        <v>7.7187908270000003</v>
      </c>
      <c r="J9" s="392">
        <v>4.2912407889999997</v>
      </c>
      <c r="K9" s="181"/>
    </row>
    <row r="10" spans="1:11" ht="20.100000000000001" customHeight="1">
      <c r="A10" s="154" t="s">
        <v>465</v>
      </c>
      <c r="B10" s="343">
        <v>506100</v>
      </c>
      <c r="C10" s="386">
        <v>-8.3675076720000003</v>
      </c>
      <c r="D10" s="386">
        <v>-8.3675076720000003</v>
      </c>
      <c r="E10" s="344">
        <v>310064</v>
      </c>
      <c r="F10" s="344">
        <v>196036</v>
      </c>
      <c r="G10" s="387">
        <v>11.639376520000001</v>
      </c>
      <c r="H10" s="387">
        <v>-1.0335369169999999</v>
      </c>
      <c r="I10" s="387">
        <v>7.1309062269999997</v>
      </c>
      <c r="J10" s="387">
        <v>4.5084702930000002</v>
      </c>
      <c r="K10" s="122"/>
    </row>
    <row r="11" spans="1:11" s="182" customFormat="1" ht="18" customHeight="1">
      <c r="A11" s="340" t="s">
        <v>93</v>
      </c>
      <c r="B11" s="341">
        <v>622411</v>
      </c>
      <c r="C11" s="383">
        <v>-6.2848564790000001</v>
      </c>
      <c r="D11" s="383">
        <v>-7.2304468599999998</v>
      </c>
      <c r="E11" s="342">
        <v>370870</v>
      </c>
      <c r="F11" s="342">
        <v>251541</v>
      </c>
      <c r="G11" s="406">
        <v>15.850561997</v>
      </c>
      <c r="H11" s="406">
        <v>-1.023042196</v>
      </c>
      <c r="I11" s="406">
        <v>9.4447204950000003</v>
      </c>
      <c r="J11" s="406">
        <v>6.4058415020000004</v>
      </c>
      <c r="K11" s="181"/>
    </row>
    <row r="12" spans="1:11" ht="15.95" customHeight="1">
      <c r="A12" s="347" t="s">
        <v>94</v>
      </c>
      <c r="B12" s="390">
        <v>588958</v>
      </c>
      <c r="C12" s="391">
        <v>0.30724477700000002</v>
      </c>
      <c r="D12" s="391">
        <v>-4.7766132690000003</v>
      </c>
      <c r="E12" s="348">
        <v>366954</v>
      </c>
      <c r="F12" s="348">
        <v>222004</v>
      </c>
      <c r="G12" s="394">
        <v>13.548988334000001</v>
      </c>
      <c r="H12" s="394">
        <v>7.2584259999999998E-2</v>
      </c>
      <c r="I12" s="394">
        <v>8.4417827170000006</v>
      </c>
      <c r="J12" s="394">
        <v>5.1072056180000001</v>
      </c>
      <c r="K12" s="122"/>
    </row>
    <row r="13" spans="1:11" ht="15.95" customHeight="1">
      <c r="A13" s="347" t="s">
        <v>95</v>
      </c>
      <c r="B13" s="390">
        <v>455474</v>
      </c>
      <c r="C13" s="391">
        <v>-5.6096555129999999</v>
      </c>
      <c r="D13" s="391">
        <v>-4.9524443570000001</v>
      </c>
      <c r="E13" s="348">
        <v>298146</v>
      </c>
      <c r="F13" s="348">
        <v>157328</v>
      </c>
      <c r="G13" s="394">
        <v>10.828772062000001</v>
      </c>
      <c r="H13" s="394">
        <v>-0.61943577400000005</v>
      </c>
      <c r="I13" s="394">
        <v>7.0883411020000002</v>
      </c>
      <c r="J13" s="394">
        <v>3.7404309599999999</v>
      </c>
      <c r="K13" s="122"/>
    </row>
    <row r="14" spans="1:11" ht="15.95" customHeight="1">
      <c r="A14" s="347" t="s">
        <v>96</v>
      </c>
      <c r="B14" s="390">
        <v>497285</v>
      </c>
      <c r="C14" s="391">
        <v>-4.905552857</v>
      </c>
      <c r="D14" s="391">
        <v>-4.9437151090000002</v>
      </c>
      <c r="E14" s="348">
        <v>329002</v>
      </c>
      <c r="F14" s="348">
        <v>168283</v>
      </c>
      <c r="G14" s="394">
        <v>11.442885669000001</v>
      </c>
      <c r="H14" s="394">
        <v>-0.56663817100000002</v>
      </c>
      <c r="I14" s="394">
        <v>7.5705727520000003</v>
      </c>
      <c r="J14" s="394">
        <v>3.8723129169999999</v>
      </c>
      <c r="K14" s="122"/>
    </row>
    <row r="15" spans="1:11" ht="15.95" customHeight="1">
      <c r="A15" s="347" t="s">
        <v>97</v>
      </c>
      <c r="B15" s="390">
        <v>473480</v>
      </c>
      <c r="C15" s="391">
        <v>-0.81612816700000002</v>
      </c>
      <c r="D15" s="391">
        <v>-4.3441641779999998</v>
      </c>
      <c r="E15" s="348">
        <v>314180</v>
      </c>
      <c r="F15" s="348">
        <v>159300</v>
      </c>
      <c r="G15" s="394">
        <v>11.259913323999999</v>
      </c>
      <c r="H15" s="394">
        <v>-7.0281936000000003E-2</v>
      </c>
      <c r="I15" s="394">
        <v>7.4715712759999997</v>
      </c>
      <c r="J15" s="394">
        <v>3.788342047</v>
      </c>
      <c r="K15" s="122"/>
    </row>
    <row r="16" spans="1:11" ht="15.95" customHeight="1">
      <c r="A16" s="347" t="s">
        <v>98</v>
      </c>
      <c r="B16" s="390">
        <v>482143</v>
      </c>
      <c r="C16" s="391">
        <v>4.9119936290000004</v>
      </c>
      <c r="D16" s="391">
        <v>-3.2086089680000001</v>
      </c>
      <c r="E16" s="348">
        <v>319902</v>
      </c>
      <c r="F16" s="348">
        <v>162241</v>
      </c>
      <c r="G16" s="394">
        <v>11.097467888000001</v>
      </c>
      <c r="H16" s="394">
        <v>0.54078717399999998</v>
      </c>
      <c r="I16" s="394">
        <v>7.3631726940000002</v>
      </c>
      <c r="J16" s="394">
        <v>3.734295194</v>
      </c>
      <c r="K16" s="122"/>
    </row>
    <row r="17" spans="1:11" ht="15.95" customHeight="1">
      <c r="A17" s="347" t="s">
        <v>99</v>
      </c>
      <c r="B17" s="390">
        <v>538401</v>
      </c>
      <c r="C17" s="391">
        <v>3.7847434400000002</v>
      </c>
      <c r="D17" s="391">
        <v>-2.3579457389999998</v>
      </c>
      <c r="E17" s="348">
        <v>353503</v>
      </c>
      <c r="F17" s="348">
        <v>184898</v>
      </c>
      <c r="G17" s="394">
        <v>12.394113544</v>
      </c>
      <c r="H17" s="394">
        <v>0.47653456700000002</v>
      </c>
      <c r="I17" s="394">
        <v>8.1377195069999999</v>
      </c>
      <c r="J17" s="394">
        <v>4.2563940369999997</v>
      </c>
      <c r="K17" s="122"/>
    </row>
    <row r="18" spans="1:11" ht="15.95" customHeight="1">
      <c r="A18" s="347" t="s">
        <v>100</v>
      </c>
      <c r="B18" s="390">
        <v>449718</v>
      </c>
      <c r="C18" s="391">
        <v>-1.6394948540000001</v>
      </c>
      <c r="D18" s="391">
        <v>-2.2883811789999999</v>
      </c>
      <c r="E18" s="348">
        <v>302563</v>
      </c>
      <c r="F18" s="348">
        <v>147155</v>
      </c>
      <c r="G18" s="394">
        <v>10.699319343000001</v>
      </c>
      <c r="H18" s="394">
        <v>-0.15558902799999999</v>
      </c>
      <c r="I18" s="394">
        <v>7.198329083</v>
      </c>
      <c r="J18" s="394">
        <v>3.50099026</v>
      </c>
      <c r="K18" s="122"/>
    </row>
    <row r="19" spans="1:11" ht="15.95" customHeight="1">
      <c r="A19" s="347" t="s">
        <v>101</v>
      </c>
      <c r="B19" s="390">
        <v>506889</v>
      </c>
      <c r="C19" s="391">
        <v>11.041035033</v>
      </c>
      <c r="D19" s="391">
        <v>-1.113388469</v>
      </c>
      <c r="E19" s="348">
        <v>344738</v>
      </c>
      <c r="F19" s="348">
        <v>162151</v>
      </c>
      <c r="G19" s="394">
        <v>11.672515762</v>
      </c>
      <c r="H19" s="394">
        <v>1.1832115430000001</v>
      </c>
      <c r="I19" s="394">
        <v>7.9385422429999997</v>
      </c>
      <c r="J19" s="394">
        <v>3.7339735200000002</v>
      </c>
      <c r="K19" s="122"/>
    </row>
    <row r="20" spans="1:11" ht="15.95" customHeight="1">
      <c r="A20" s="347" t="s">
        <v>102</v>
      </c>
      <c r="B20" s="390">
        <v>496414</v>
      </c>
      <c r="C20" s="391">
        <v>4.2531743400000002</v>
      </c>
      <c r="D20" s="391">
        <v>-0.66148770999999995</v>
      </c>
      <c r="E20" s="348">
        <v>337034</v>
      </c>
      <c r="F20" s="348">
        <v>159380</v>
      </c>
      <c r="G20" s="394">
        <v>11.816309174000001</v>
      </c>
      <c r="H20" s="394">
        <v>0.50865027600000001</v>
      </c>
      <c r="I20" s="394">
        <v>8.022533503</v>
      </c>
      <c r="J20" s="394">
        <v>3.7937756720000002</v>
      </c>
      <c r="K20" s="122"/>
    </row>
    <row r="21" spans="1:11" s="182" customFormat="1" ht="20.100000000000001" customHeight="1">
      <c r="A21" s="350" t="s">
        <v>92</v>
      </c>
      <c r="B21" s="351">
        <v>511465</v>
      </c>
      <c r="C21" s="395">
        <v>2.8117882839999999</v>
      </c>
      <c r="D21" s="395">
        <v>-0.38063085200000002</v>
      </c>
      <c r="E21" s="352">
        <v>338907</v>
      </c>
      <c r="F21" s="352">
        <v>172558</v>
      </c>
      <c r="G21" s="396">
        <v>11.785744830000001</v>
      </c>
      <c r="H21" s="396">
        <v>0.34888258799999999</v>
      </c>
      <c r="I21" s="396">
        <v>7.8094716609999999</v>
      </c>
      <c r="J21" s="396">
        <v>3.9762731690000002</v>
      </c>
      <c r="K21" s="181"/>
    </row>
    <row r="22" spans="1:11" ht="20.100000000000001" customHeight="1">
      <c r="A22" s="147" t="s">
        <v>466</v>
      </c>
      <c r="B22" s="345">
        <v>596969</v>
      </c>
      <c r="C22" s="388">
        <v>17.954752025000001</v>
      </c>
      <c r="D22" s="388">
        <v>17.954752025000001</v>
      </c>
      <c r="E22" s="346">
        <v>376095</v>
      </c>
      <c r="F22" s="346">
        <v>220874</v>
      </c>
      <c r="G22" s="389">
        <v>13.796574067</v>
      </c>
      <c r="H22" s="389">
        <v>2.157197547</v>
      </c>
      <c r="I22" s="389">
        <v>8.6919463550000007</v>
      </c>
      <c r="J22" s="389">
        <v>5.1046277120000001</v>
      </c>
      <c r="K22" s="122"/>
    </row>
    <row r="23" spans="1:11" s="182" customFormat="1" ht="18" customHeight="1">
      <c r="A23" s="340" t="s">
        <v>93</v>
      </c>
      <c r="B23" s="341">
        <v>654562</v>
      </c>
      <c r="C23" s="383">
        <v>5.1655578069999999</v>
      </c>
      <c r="D23" s="383">
        <v>10.90109002</v>
      </c>
      <c r="E23" s="342">
        <v>400715</v>
      </c>
      <c r="F23" s="342">
        <v>253847</v>
      </c>
      <c r="G23" s="406">
        <v>16.174003705000001</v>
      </c>
      <c r="H23" s="406">
        <v>0.32344170799999999</v>
      </c>
      <c r="I23" s="406">
        <v>9.9015309390000006</v>
      </c>
      <c r="J23" s="406">
        <v>6.2724727659999999</v>
      </c>
      <c r="K23" s="181"/>
    </row>
    <row r="24" spans="1:11" ht="15.95" customHeight="1">
      <c r="A24" s="347" t="s">
        <v>94</v>
      </c>
      <c r="B24" s="390">
        <v>563187</v>
      </c>
      <c r="C24" s="391">
        <v>-4.3756940220000002</v>
      </c>
      <c r="D24" s="391">
        <v>5.6623438330000004</v>
      </c>
      <c r="E24" s="348">
        <v>349390</v>
      </c>
      <c r="F24" s="348">
        <v>213797</v>
      </c>
      <c r="G24" s="394">
        <v>13.020683839</v>
      </c>
      <c r="H24" s="394">
        <v>-0.52830449499999999</v>
      </c>
      <c r="I24" s="394">
        <v>8.077772972</v>
      </c>
      <c r="J24" s="394">
        <v>4.9429108680000002</v>
      </c>
      <c r="K24" s="122"/>
    </row>
    <row r="25" spans="1:11" ht="15.95" customHeight="1">
      <c r="A25" s="347" t="s">
        <v>95</v>
      </c>
      <c r="B25" s="390">
        <v>533272</v>
      </c>
      <c r="C25" s="391">
        <v>17.080667611999999</v>
      </c>
      <c r="D25" s="391">
        <v>8.0557566400000002</v>
      </c>
      <c r="E25" s="348">
        <v>351935</v>
      </c>
      <c r="F25" s="348">
        <v>181337</v>
      </c>
      <c r="G25" s="394">
        <v>12.742107036</v>
      </c>
      <c r="H25" s="394">
        <v>1.9133349749999999</v>
      </c>
      <c r="I25" s="394">
        <v>8.4092047579999996</v>
      </c>
      <c r="J25" s="394">
        <v>4.3329022779999997</v>
      </c>
      <c r="K25" s="122"/>
    </row>
    <row r="26" spans="1:11" ht="15.95" customHeight="1">
      <c r="A26" s="347" t="s">
        <v>96</v>
      </c>
      <c r="B26" s="390">
        <v>497976</v>
      </c>
      <c r="C26" s="391">
        <v>0.138954523</v>
      </c>
      <c r="D26" s="391">
        <v>6.5813855600000002</v>
      </c>
      <c r="E26" s="348">
        <v>334366</v>
      </c>
      <c r="F26" s="348">
        <v>163610</v>
      </c>
      <c r="G26" s="394">
        <v>11.516646558</v>
      </c>
      <c r="H26" s="394">
        <v>7.3760889999999996E-2</v>
      </c>
      <c r="I26" s="394">
        <v>7.7328526740000001</v>
      </c>
      <c r="J26" s="394">
        <v>3.7837938850000001</v>
      </c>
      <c r="K26" s="122"/>
    </row>
    <row r="27" spans="1:11" ht="15.95" customHeight="1">
      <c r="A27" s="347" t="s">
        <v>97</v>
      </c>
      <c r="B27" s="390">
        <v>439892</v>
      </c>
      <c r="C27" s="391">
        <v>-7.0938582410000004</v>
      </c>
      <c r="D27" s="391">
        <v>4.5217303900000001</v>
      </c>
      <c r="E27" s="348">
        <v>295959</v>
      </c>
      <c r="F27" s="348">
        <v>143933</v>
      </c>
      <c r="G27" s="394">
        <v>10.513859078999999</v>
      </c>
      <c r="H27" s="394">
        <v>-0.74605424499999995</v>
      </c>
      <c r="I27" s="394">
        <v>7.0737163189999999</v>
      </c>
      <c r="J27" s="394">
        <v>3.4401427600000001</v>
      </c>
      <c r="K27" s="122"/>
    </row>
    <row r="28" spans="1:11" ht="15.95" customHeight="1">
      <c r="A28" s="347" t="s">
        <v>98</v>
      </c>
      <c r="B28" s="390">
        <v>512002</v>
      </c>
      <c r="C28" s="391">
        <v>6.1929759430000004</v>
      </c>
      <c r="D28" s="391">
        <v>4.7439621760000001</v>
      </c>
      <c r="E28" s="348">
        <v>338086</v>
      </c>
      <c r="F28" s="348">
        <v>173916</v>
      </c>
      <c r="G28" s="394">
        <v>11.843998097</v>
      </c>
      <c r="H28" s="394">
        <v>0.746530209</v>
      </c>
      <c r="I28" s="394">
        <v>7.8208482400000001</v>
      </c>
      <c r="J28" s="394">
        <v>4.0231498569999999</v>
      </c>
      <c r="K28" s="122"/>
    </row>
    <row r="29" spans="1:11" ht="15.95" customHeight="1">
      <c r="A29" s="347" t="s">
        <v>99</v>
      </c>
      <c r="B29" s="390">
        <v>510959</v>
      </c>
      <c r="C29" s="391">
        <v>-5.0969444709999996</v>
      </c>
      <c r="D29" s="391">
        <v>3.4716198729999999</v>
      </c>
      <c r="E29" s="348">
        <v>333311</v>
      </c>
      <c r="F29" s="348">
        <v>177648</v>
      </c>
      <c r="G29" s="394">
        <v>11.82148716</v>
      </c>
      <c r="H29" s="394">
        <v>-0.57262638399999999</v>
      </c>
      <c r="I29" s="394">
        <v>7.7114439839999998</v>
      </c>
      <c r="J29" s="394">
        <v>4.1100431759999996</v>
      </c>
      <c r="K29" s="122"/>
    </row>
    <row r="30" spans="1:11" ht="15.95" customHeight="1">
      <c r="A30" s="347" t="s">
        <v>100</v>
      </c>
      <c r="B30" s="390">
        <v>463479</v>
      </c>
      <c r="C30" s="391">
        <v>3.059917548</v>
      </c>
      <c r="D30" s="391">
        <v>3.4314917519999999</v>
      </c>
      <c r="E30" s="348">
        <v>310795</v>
      </c>
      <c r="F30" s="348">
        <v>152684</v>
      </c>
      <c r="G30" s="394">
        <v>11.082130694</v>
      </c>
      <c r="H30" s="394">
        <v>0.38281135100000002</v>
      </c>
      <c r="I30" s="394">
        <v>7.4313416769999998</v>
      </c>
      <c r="J30" s="394">
        <v>3.6507890170000001</v>
      </c>
      <c r="K30" s="122"/>
    </row>
    <row r="31" spans="1:11" ht="15.95" customHeight="1">
      <c r="A31" s="347" t="s">
        <v>101</v>
      </c>
      <c r="B31" s="390">
        <v>521174</v>
      </c>
      <c r="C31" s="391">
        <v>2.8181712370000001</v>
      </c>
      <c r="D31" s="391">
        <v>3.3707821290000002</v>
      </c>
      <c r="E31" s="348">
        <v>356819</v>
      </c>
      <c r="F31" s="348">
        <v>164355</v>
      </c>
      <c r="G31" s="394">
        <v>12.061460786</v>
      </c>
      <c r="H31" s="394">
        <v>0.38894502399999997</v>
      </c>
      <c r="I31" s="394">
        <v>8.2578148109999994</v>
      </c>
      <c r="J31" s="394">
        <v>3.8036459749999998</v>
      </c>
      <c r="K31" s="122"/>
    </row>
    <row r="32" spans="1:11" ht="15.95" customHeight="1">
      <c r="A32" s="353" t="s">
        <v>102</v>
      </c>
      <c r="B32" s="397">
        <v>465983</v>
      </c>
      <c r="C32" s="398">
        <v>-6.1301655469999998</v>
      </c>
      <c r="D32" s="398">
        <v>2.5311570219999999</v>
      </c>
      <c r="E32" s="399">
        <v>316469</v>
      </c>
      <c r="F32" s="399">
        <v>149514</v>
      </c>
      <c r="G32" s="400">
        <v>11.146597903</v>
      </c>
      <c r="H32" s="400">
        <v>-0.66971127100000005</v>
      </c>
      <c r="I32" s="400">
        <v>7.5701317259999996</v>
      </c>
      <c r="J32" s="400">
        <v>3.576466178</v>
      </c>
      <c r="K32" s="122"/>
    </row>
    <row r="33" spans="1:11" s="182" customFormat="1" ht="20.100000000000001" customHeight="1">
      <c r="A33" s="354" t="s">
        <v>92</v>
      </c>
      <c r="B33" s="355">
        <v>523864</v>
      </c>
      <c r="C33" s="401">
        <v>2.4242127999999998</v>
      </c>
      <c r="D33" s="401">
        <v>2.5222321459999999</v>
      </c>
      <c r="E33" s="356">
        <v>344852</v>
      </c>
      <c r="F33" s="356">
        <v>179012</v>
      </c>
      <c r="G33" s="402">
        <v>12.130265235</v>
      </c>
      <c r="H33" s="402">
        <v>0.34452040499999997</v>
      </c>
      <c r="I33" s="402">
        <v>7.9851759749999998</v>
      </c>
      <c r="J33" s="402">
        <v>4.1450892599999998</v>
      </c>
      <c r="K33" s="181"/>
    </row>
    <row r="34" spans="1:11" ht="20.100000000000001" customHeight="1">
      <c r="A34" s="147" t="s">
        <v>467</v>
      </c>
      <c r="B34" s="345">
        <v>509565</v>
      </c>
      <c r="C34" s="388">
        <v>-14.641296282000001</v>
      </c>
      <c r="D34" s="388">
        <v>-14.641296282000001</v>
      </c>
      <c r="E34" s="346">
        <v>319729</v>
      </c>
      <c r="F34" s="346">
        <v>189836</v>
      </c>
      <c r="G34" s="389">
        <v>11.768832657000001</v>
      </c>
      <c r="H34" s="389">
        <v>-2.02774141</v>
      </c>
      <c r="I34" s="389">
        <v>7.3844104220000002</v>
      </c>
      <c r="J34" s="389">
        <v>4.3844222349999997</v>
      </c>
      <c r="K34" s="122"/>
    </row>
    <row r="35" spans="1:11" s="182" customFormat="1" ht="18" customHeight="1">
      <c r="A35" s="340" t="s">
        <v>93</v>
      </c>
      <c r="B35" s="341">
        <v>694508</v>
      </c>
      <c r="C35" s="383">
        <v>6.1027068480000004</v>
      </c>
      <c r="D35" s="383">
        <v>-3.791995564</v>
      </c>
      <c r="E35" s="342">
        <v>421426</v>
      </c>
      <c r="F35" s="342">
        <v>273082</v>
      </c>
      <c r="G35" s="406">
        <v>17.762795309000001</v>
      </c>
      <c r="H35" s="406">
        <v>1.5887916040000001</v>
      </c>
      <c r="I35" s="406">
        <v>10.778426996</v>
      </c>
      <c r="J35" s="406">
        <v>6.9843683130000001</v>
      </c>
      <c r="K35" s="181"/>
    </row>
    <row r="36" spans="1:11" ht="15.95" customHeight="1">
      <c r="A36" s="347" t="s">
        <v>94</v>
      </c>
      <c r="B36" s="390">
        <v>548551</v>
      </c>
      <c r="C36" s="391">
        <v>-2.598781577</v>
      </c>
      <c r="D36" s="391">
        <v>-3.421688659</v>
      </c>
      <c r="E36" s="348">
        <v>341746</v>
      </c>
      <c r="F36" s="348">
        <v>206805</v>
      </c>
      <c r="G36" s="394">
        <v>12.674849050000001</v>
      </c>
      <c r="H36" s="394">
        <v>-0.34583478899999998</v>
      </c>
      <c r="I36" s="394">
        <v>7.8964015439999997</v>
      </c>
      <c r="J36" s="394">
        <v>4.778447506</v>
      </c>
      <c r="K36" s="122"/>
    </row>
    <row r="37" spans="1:11" ht="15.95" customHeight="1">
      <c r="A37" s="347" t="s">
        <v>95</v>
      </c>
      <c r="B37" s="390">
        <v>476032</v>
      </c>
      <c r="C37" s="391">
        <v>-10.733734378999999</v>
      </c>
      <c r="D37" s="391">
        <v>-5.0823896179999997</v>
      </c>
      <c r="E37" s="348">
        <v>315335</v>
      </c>
      <c r="F37" s="348">
        <v>160697</v>
      </c>
      <c r="G37" s="394">
        <v>11.367531687</v>
      </c>
      <c r="H37" s="394">
        <v>-1.3745753489999999</v>
      </c>
      <c r="I37" s="394">
        <v>7.5301252950000004</v>
      </c>
      <c r="J37" s="394">
        <v>3.8374063920000001</v>
      </c>
      <c r="K37" s="122"/>
    </row>
    <row r="38" spans="1:11" ht="15.95" customHeight="1">
      <c r="A38" s="347" t="s">
        <v>96</v>
      </c>
      <c r="B38" s="390">
        <v>473345</v>
      </c>
      <c r="C38" s="391">
        <v>-4.9462223080000003</v>
      </c>
      <c r="D38" s="391">
        <v>-5.0585635949999999</v>
      </c>
      <c r="E38" s="348">
        <v>314395</v>
      </c>
      <c r="F38" s="348">
        <v>158950</v>
      </c>
      <c r="G38" s="394">
        <v>10.940129897</v>
      </c>
      <c r="H38" s="394">
        <v>-0.57651666099999999</v>
      </c>
      <c r="I38" s="394">
        <v>7.2664169660000004</v>
      </c>
      <c r="J38" s="394">
        <v>3.6737129309999998</v>
      </c>
      <c r="K38" s="122"/>
    </row>
    <row r="39" spans="1:11" ht="15.95" customHeight="1">
      <c r="A39" s="347" t="s">
        <v>97</v>
      </c>
      <c r="B39" s="390">
        <v>477791</v>
      </c>
      <c r="C39" s="391">
        <v>8.6155238099999991</v>
      </c>
      <c r="D39" s="391">
        <v>-3.2279544640000002</v>
      </c>
      <c r="E39" s="348">
        <v>312807</v>
      </c>
      <c r="F39" s="348">
        <v>164984</v>
      </c>
      <c r="G39" s="394">
        <v>11.412055706</v>
      </c>
      <c r="H39" s="394">
        <v>0.89819662700000003</v>
      </c>
      <c r="I39" s="394">
        <v>7.4714067640000001</v>
      </c>
      <c r="J39" s="394">
        <v>3.9406489420000002</v>
      </c>
      <c r="K39" s="122"/>
    </row>
    <row r="40" spans="1:11" ht="15.95" customHeight="1">
      <c r="A40" s="347" t="s">
        <v>98</v>
      </c>
      <c r="B40" s="390">
        <v>553357</v>
      </c>
      <c r="C40" s="391">
        <v>8.0771168860000007</v>
      </c>
      <c r="D40" s="391">
        <v>-1.703880606</v>
      </c>
      <c r="E40" s="348">
        <v>343761</v>
      </c>
      <c r="F40" s="348">
        <v>209596</v>
      </c>
      <c r="G40" s="394">
        <v>12.791456291999999</v>
      </c>
      <c r="H40" s="394">
        <v>0.94745819499999995</v>
      </c>
      <c r="I40" s="394">
        <v>7.9464139899999999</v>
      </c>
      <c r="J40" s="394">
        <v>4.8450423020000004</v>
      </c>
      <c r="K40" s="122"/>
    </row>
    <row r="41" spans="1:11" ht="15.95" customHeight="1">
      <c r="A41" s="347" t="s">
        <v>99</v>
      </c>
      <c r="B41" s="390">
        <v>493275</v>
      </c>
      <c r="C41" s="391">
        <v>-3.46094305</v>
      </c>
      <c r="D41" s="391">
        <v>-1.912240918</v>
      </c>
      <c r="E41" s="348">
        <v>314998</v>
      </c>
      <c r="F41" s="348">
        <v>178277</v>
      </c>
      <c r="G41" s="394">
        <v>11.403255489999999</v>
      </c>
      <c r="H41" s="394">
        <v>-0.41823167</v>
      </c>
      <c r="I41" s="394">
        <v>7.28194754</v>
      </c>
      <c r="J41" s="394">
        <v>4.1213079500000003</v>
      </c>
      <c r="K41" s="122"/>
    </row>
    <row r="42" spans="1:11" ht="15.95" customHeight="1">
      <c r="A42" s="347" t="s">
        <v>100</v>
      </c>
      <c r="B42" s="390">
        <v>493599</v>
      </c>
      <c r="C42" s="391">
        <v>6.498676315</v>
      </c>
      <c r="D42" s="391">
        <v>-1.0953842359999999</v>
      </c>
      <c r="E42" s="348">
        <v>323707</v>
      </c>
      <c r="F42" s="348">
        <v>169892</v>
      </c>
      <c r="G42" s="394">
        <v>11.791958046</v>
      </c>
      <c r="H42" s="394">
        <v>0.70982735200000002</v>
      </c>
      <c r="I42" s="394">
        <v>7.7332801790000003</v>
      </c>
      <c r="J42" s="394">
        <v>4.0586778670000001</v>
      </c>
      <c r="K42" s="122"/>
    </row>
    <row r="43" spans="1:11" ht="15.95" customHeight="1">
      <c r="A43" s="347" t="s">
        <v>101</v>
      </c>
      <c r="B43" s="390">
        <v>442185</v>
      </c>
      <c r="C43" s="391">
        <v>-15.155974779999999</v>
      </c>
      <c r="D43" s="391">
        <v>-2.4797335280000001</v>
      </c>
      <c r="E43" s="348">
        <v>297694</v>
      </c>
      <c r="F43" s="348">
        <v>144491</v>
      </c>
      <c r="G43" s="394">
        <v>10.223796642</v>
      </c>
      <c r="H43" s="394">
        <v>-1.8376641440000001</v>
      </c>
      <c r="I43" s="394">
        <v>6.8830080569999996</v>
      </c>
      <c r="J43" s="394">
        <v>3.3407885849999999</v>
      </c>
      <c r="K43" s="122"/>
    </row>
    <row r="44" spans="1:11" ht="15.95" customHeight="1">
      <c r="A44" s="353" t="s">
        <v>102</v>
      </c>
      <c r="B44" s="397">
        <v>427566</v>
      </c>
      <c r="C44" s="398">
        <v>-8.2442921739999999</v>
      </c>
      <c r="D44" s="398">
        <v>-2.946129451</v>
      </c>
      <c r="E44" s="399">
        <v>285418</v>
      </c>
      <c r="F44" s="399">
        <v>142148</v>
      </c>
      <c r="G44" s="400">
        <v>10.217566042</v>
      </c>
      <c r="H44" s="400">
        <v>-0.92903186100000001</v>
      </c>
      <c r="I44" s="400">
        <v>6.8206481920000002</v>
      </c>
      <c r="J44" s="400">
        <v>3.396917851</v>
      </c>
      <c r="K44" s="122"/>
    </row>
    <row r="45" spans="1:11" s="182" customFormat="1" ht="20.100000000000001" customHeight="1" thickBot="1">
      <c r="A45" s="357" t="s">
        <v>92</v>
      </c>
      <c r="B45" s="358">
        <v>528010</v>
      </c>
      <c r="C45" s="403">
        <v>0.79142678300000002</v>
      </c>
      <c r="D45" s="403">
        <v>-2.6345152939999998</v>
      </c>
      <c r="E45" s="359">
        <v>340855</v>
      </c>
      <c r="F45" s="359">
        <v>187155</v>
      </c>
      <c r="G45" s="404">
        <v>12.214163441</v>
      </c>
      <c r="H45" s="404">
        <v>8.3898206000000003E-2</v>
      </c>
      <c r="I45" s="404">
        <v>7.8848102869999996</v>
      </c>
      <c r="J45" s="404">
        <v>4.3293531539999996</v>
      </c>
      <c r="K45" s="181"/>
    </row>
    <row r="46" spans="1:11" ht="15" customHeight="1">
      <c r="A46" s="125" t="s">
        <v>157</v>
      </c>
      <c r="B46" s="123"/>
      <c r="C46" s="124"/>
      <c r="D46" s="124"/>
      <c r="E46" s="123"/>
      <c r="F46" s="123"/>
      <c r="G46" s="124"/>
      <c r="H46" s="124"/>
      <c r="I46" s="124"/>
      <c r="J46" s="124"/>
    </row>
    <row r="54" spans="12:15" ht="15" customHeight="1">
      <c r="L54" s="169"/>
      <c r="M54" s="169"/>
      <c r="N54" s="169"/>
      <c r="O54" s="170"/>
    </row>
  </sheetData>
  <mergeCells count="10">
    <mergeCell ref="A1:J1"/>
    <mergeCell ref="A3:A6"/>
    <mergeCell ref="B3:F3"/>
    <mergeCell ref="G3:J3"/>
    <mergeCell ref="B4:B6"/>
    <mergeCell ref="E4:E6"/>
    <mergeCell ref="F4:F6"/>
    <mergeCell ref="G4:G6"/>
    <mergeCell ref="I4:I6"/>
    <mergeCell ref="J4:J6"/>
  </mergeCells>
  <phoneticPr fontId="2" type="noConversion"/>
  <printOptions horizontalCentered="1"/>
  <pageMargins left="0.78740157480314965" right="0.78740157480314965" top="0.78740157480314965" bottom="0.47244094488188981" header="0.51181102362204722" footer="1.0629921259842521"/>
  <pageSetup paperSize="9" scale="95" orientation="portrait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V53"/>
  <sheetViews>
    <sheetView showGridLines="0" view="pageBreakPreview" zoomScaleNormal="100" workbookViewId="0"/>
  </sheetViews>
  <sheetFormatPr defaultRowHeight="13.5"/>
  <cols>
    <col min="1" max="1" width="4.625" customWidth="1"/>
    <col min="2" max="2" width="8.125" style="46" customWidth="1"/>
    <col min="3" max="4" width="10.625" style="45" customWidth="1"/>
    <col min="5" max="11" width="8.25" style="45" customWidth="1"/>
    <col min="12" max="12" width="10.625" style="45" customWidth="1"/>
    <col min="13" max="20" width="8.5" style="45" customWidth="1"/>
    <col min="21" max="21" width="8.125" style="46" customWidth="1"/>
    <col min="22" max="22" width="4.625" style="3" customWidth="1"/>
    <col min="23" max="16384" width="9" style="45"/>
  </cols>
  <sheetData>
    <row r="1" spans="1:22" s="40" customFormat="1" ht="18.75">
      <c r="A1" s="38" t="str">
        <f>"10. 시도 및 전입사유별 이동자 수, "&amp;표지!G5</f>
        <v>10. 시도 및 전입사유별 이동자 수, 2025</v>
      </c>
      <c r="C1" s="39"/>
      <c r="D1" s="39"/>
      <c r="E1" s="39"/>
      <c r="F1" s="39"/>
      <c r="G1" s="39"/>
      <c r="H1" s="39"/>
      <c r="I1" s="39"/>
      <c r="L1" s="38"/>
      <c r="M1" s="39"/>
      <c r="N1" s="39"/>
      <c r="O1" s="39"/>
      <c r="P1" s="39"/>
      <c r="Q1" s="39"/>
      <c r="R1" s="39"/>
      <c r="S1" s="39"/>
      <c r="T1" s="39"/>
      <c r="U1" s="62"/>
      <c r="V1" s="102"/>
    </row>
    <row r="2" spans="1:22" s="42" customFormat="1" ht="12" customHeight="1" thickBot="1">
      <c r="A2" s="4"/>
      <c r="B2" s="41"/>
      <c r="J2" s="43"/>
      <c r="K2" s="43"/>
      <c r="V2" s="43" t="s">
        <v>36</v>
      </c>
    </row>
    <row r="3" spans="1:22" s="44" customFormat="1" ht="25.5" customHeight="1">
      <c r="A3" s="470" t="s">
        <v>163</v>
      </c>
      <c r="B3" s="471"/>
      <c r="C3" s="10" t="s">
        <v>42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7" t="s">
        <v>111</v>
      </c>
      <c r="L3" s="12" t="s">
        <v>13</v>
      </c>
      <c r="M3" s="12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7" t="s">
        <v>21</v>
      </c>
      <c r="U3" s="551" t="s">
        <v>164</v>
      </c>
      <c r="V3" s="552"/>
    </row>
    <row r="4" spans="1:22" s="44" customFormat="1" ht="4.5" customHeight="1">
      <c r="A4" s="553" t="s">
        <v>129</v>
      </c>
      <c r="B4" s="100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2"/>
      <c r="U4" s="100"/>
      <c r="V4" s="446" t="s">
        <v>129</v>
      </c>
    </row>
    <row r="5" spans="1:22" s="6" customFormat="1" ht="15.95" customHeight="1">
      <c r="A5" s="554"/>
      <c r="B5" s="51" t="s">
        <v>48</v>
      </c>
      <c r="C5" s="198">
        <v>6117784</v>
      </c>
      <c r="D5" s="198">
        <v>1244928</v>
      </c>
      <c r="E5" s="198">
        <v>362416</v>
      </c>
      <c r="F5" s="198">
        <v>268468</v>
      </c>
      <c r="G5" s="198">
        <v>395525</v>
      </c>
      <c r="H5" s="198">
        <v>162873</v>
      </c>
      <c r="I5" s="198">
        <v>207372</v>
      </c>
      <c r="J5" s="198">
        <v>114205</v>
      </c>
      <c r="K5" s="198">
        <v>54355</v>
      </c>
      <c r="L5" s="198">
        <v>1628873</v>
      </c>
      <c r="M5" s="198">
        <v>182825</v>
      </c>
      <c r="N5" s="198">
        <v>199201</v>
      </c>
      <c r="O5" s="198">
        <v>251857</v>
      </c>
      <c r="P5" s="198">
        <v>195095</v>
      </c>
      <c r="Q5" s="198">
        <v>185748</v>
      </c>
      <c r="R5" s="198">
        <v>259920</v>
      </c>
      <c r="S5" s="198">
        <v>326535</v>
      </c>
      <c r="T5" s="198">
        <v>77588</v>
      </c>
      <c r="U5" s="51" t="s">
        <v>48</v>
      </c>
      <c r="V5" s="557"/>
    </row>
    <row r="6" spans="1:22" s="6" customFormat="1" ht="15.95" customHeight="1">
      <c r="A6" s="554"/>
      <c r="B6" s="51" t="s">
        <v>121</v>
      </c>
      <c r="C6" s="198">
        <v>1309531</v>
      </c>
      <c r="D6" s="198">
        <v>266598</v>
      </c>
      <c r="E6" s="198">
        <v>74330</v>
      </c>
      <c r="F6" s="198">
        <v>48331</v>
      </c>
      <c r="G6" s="198">
        <v>71370</v>
      </c>
      <c r="H6" s="198">
        <v>29401</v>
      </c>
      <c r="I6" s="198">
        <v>46159</v>
      </c>
      <c r="J6" s="198">
        <v>27674</v>
      </c>
      <c r="K6" s="198">
        <v>13992</v>
      </c>
      <c r="L6" s="198">
        <v>327096</v>
      </c>
      <c r="M6" s="198">
        <v>45493</v>
      </c>
      <c r="N6" s="198">
        <v>50764</v>
      </c>
      <c r="O6" s="198">
        <v>69285</v>
      </c>
      <c r="P6" s="198">
        <v>39289</v>
      </c>
      <c r="Q6" s="198">
        <v>45107</v>
      </c>
      <c r="R6" s="198">
        <v>63388</v>
      </c>
      <c r="S6" s="198">
        <v>73424</v>
      </c>
      <c r="T6" s="198">
        <v>17830</v>
      </c>
      <c r="U6" s="51" t="s">
        <v>121</v>
      </c>
      <c r="V6" s="557"/>
    </row>
    <row r="7" spans="1:22" s="6" customFormat="1" ht="15.95" customHeight="1">
      <c r="A7" s="554"/>
      <c r="B7" s="51" t="s">
        <v>122</v>
      </c>
      <c r="C7" s="198">
        <v>1583687</v>
      </c>
      <c r="D7" s="198">
        <v>298209</v>
      </c>
      <c r="E7" s="198">
        <v>94259</v>
      </c>
      <c r="F7" s="198">
        <v>72101</v>
      </c>
      <c r="G7" s="198">
        <v>100730</v>
      </c>
      <c r="H7" s="198">
        <v>47229</v>
      </c>
      <c r="I7" s="198">
        <v>47929</v>
      </c>
      <c r="J7" s="198">
        <v>32102</v>
      </c>
      <c r="K7" s="198">
        <v>14083</v>
      </c>
      <c r="L7" s="198">
        <v>430507</v>
      </c>
      <c r="M7" s="198">
        <v>45178</v>
      </c>
      <c r="N7" s="198">
        <v>50107</v>
      </c>
      <c r="O7" s="198">
        <v>61900</v>
      </c>
      <c r="P7" s="198">
        <v>54310</v>
      </c>
      <c r="Q7" s="198">
        <v>56284</v>
      </c>
      <c r="R7" s="198">
        <v>68060</v>
      </c>
      <c r="S7" s="198">
        <v>90787</v>
      </c>
      <c r="T7" s="198">
        <v>19912</v>
      </c>
      <c r="U7" s="51" t="s">
        <v>122</v>
      </c>
      <c r="V7" s="557"/>
    </row>
    <row r="8" spans="1:22" s="6" customFormat="1" ht="15.95" customHeight="1">
      <c r="A8" s="554"/>
      <c r="B8" s="52" t="s">
        <v>123</v>
      </c>
      <c r="C8" s="198">
        <v>2064695</v>
      </c>
      <c r="D8" s="198">
        <v>422018</v>
      </c>
      <c r="E8" s="198">
        <v>120709</v>
      </c>
      <c r="F8" s="198">
        <v>93429</v>
      </c>
      <c r="G8" s="198">
        <v>160028</v>
      </c>
      <c r="H8" s="198">
        <v>53009</v>
      </c>
      <c r="I8" s="198">
        <v>70422</v>
      </c>
      <c r="J8" s="198">
        <v>36374</v>
      </c>
      <c r="K8" s="198">
        <v>16367</v>
      </c>
      <c r="L8" s="198">
        <v>590547</v>
      </c>
      <c r="M8" s="198">
        <v>60722</v>
      </c>
      <c r="N8" s="198">
        <v>62874</v>
      </c>
      <c r="O8" s="198">
        <v>74428</v>
      </c>
      <c r="P8" s="198">
        <v>61518</v>
      </c>
      <c r="Q8" s="198">
        <v>48233</v>
      </c>
      <c r="R8" s="198">
        <v>69404</v>
      </c>
      <c r="S8" s="198">
        <v>102959</v>
      </c>
      <c r="T8" s="198">
        <v>21654</v>
      </c>
      <c r="U8" s="52" t="s">
        <v>123</v>
      </c>
      <c r="V8" s="557"/>
    </row>
    <row r="9" spans="1:22" s="6" customFormat="1" ht="15.95" customHeight="1">
      <c r="A9" s="554"/>
      <c r="B9" s="52" t="s">
        <v>124</v>
      </c>
      <c r="C9" s="198">
        <v>365786</v>
      </c>
      <c r="D9" s="198">
        <v>92365</v>
      </c>
      <c r="E9" s="198">
        <v>24369</v>
      </c>
      <c r="F9" s="198">
        <v>17647</v>
      </c>
      <c r="G9" s="198">
        <v>15064</v>
      </c>
      <c r="H9" s="198">
        <v>10504</v>
      </c>
      <c r="I9" s="198">
        <v>17530</v>
      </c>
      <c r="J9" s="198">
        <v>4324</v>
      </c>
      <c r="K9" s="198">
        <v>3532</v>
      </c>
      <c r="L9" s="198">
        <v>72593</v>
      </c>
      <c r="M9" s="198">
        <v>11933</v>
      </c>
      <c r="N9" s="198">
        <v>12492</v>
      </c>
      <c r="O9" s="198">
        <v>16760</v>
      </c>
      <c r="P9" s="198">
        <v>12647</v>
      </c>
      <c r="Q9" s="198">
        <v>9467</v>
      </c>
      <c r="R9" s="198">
        <v>21506</v>
      </c>
      <c r="S9" s="198">
        <v>18423</v>
      </c>
      <c r="T9" s="198">
        <v>4630</v>
      </c>
      <c r="U9" s="52" t="s">
        <v>124</v>
      </c>
      <c r="V9" s="557"/>
    </row>
    <row r="10" spans="1:22" s="6" customFormat="1" ht="15.95" customHeight="1">
      <c r="A10" s="554"/>
      <c r="B10" s="52" t="s">
        <v>125</v>
      </c>
      <c r="C10" s="198">
        <v>321512</v>
      </c>
      <c r="D10" s="198">
        <v>79614</v>
      </c>
      <c r="E10" s="198">
        <v>21921</v>
      </c>
      <c r="F10" s="198">
        <v>15860</v>
      </c>
      <c r="G10" s="198">
        <v>19652</v>
      </c>
      <c r="H10" s="198">
        <v>9356</v>
      </c>
      <c r="I10" s="198">
        <v>11670</v>
      </c>
      <c r="J10" s="198">
        <v>4391</v>
      </c>
      <c r="K10" s="198">
        <v>2772</v>
      </c>
      <c r="L10" s="198">
        <v>81485</v>
      </c>
      <c r="M10" s="198">
        <v>8560</v>
      </c>
      <c r="N10" s="198">
        <v>7370</v>
      </c>
      <c r="O10" s="198">
        <v>11011</v>
      </c>
      <c r="P10" s="198">
        <v>9232</v>
      </c>
      <c r="Q10" s="198">
        <v>7763</v>
      </c>
      <c r="R10" s="198">
        <v>12887</v>
      </c>
      <c r="S10" s="198">
        <v>14293</v>
      </c>
      <c r="T10" s="198">
        <v>3675</v>
      </c>
      <c r="U10" s="52" t="s">
        <v>125</v>
      </c>
      <c r="V10" s="557"/>
    </row>
    <row r="11" spans="1:22" s="6" customFormat="1" ht="15.95" customHeight="1">
      <c r="A11" s="554"/>
      <c r="B11" s="52" t="s">
        <v>126</v>
      </c>
      <c r="C11" s="198">
        <v>67173</v>
      </c>
      <c r="D11" s="198">
        <v>3994</v>
      </c>
      <c r="E11" s="198">
        <v>2771</v>
      </c>
      <c r="F11" s="198">
        <v>2003</v>
      </c>
      <c r="G11" s="198">
        <v>2716</v>
      </c>
      <c r="H11" s="198">
        <v>977</v>
      </c>
      <c r="I11" s="198">
        <v>1042</v>
      </c>
      <c r="J11" s="198">
        <v>942</v>
      </c>
      <c r="K11" s="198">
        <v>406</v>
      </c>
      <c r="L11" s="198">
        <v>14646</v>
      </c>
      <c r="M11" s="198">
        <v>4800</v>
      </c>
      <c r="N11" s="198">
        <v>3575</v>
      </c>
      <c r="O11" s="198">
        <v>4340</v>
      </c>
      <c r="P11" s="198">
        <v>4201</v>
      </c>
      <c r="Q11" s="198">
        <v>5914</v>
      </c>
      <c r="R11" s="198">
        <v>5856</v>
      </c>
      <c r="S11" s="198">
        <v>6372</v>
      </c>
      <c r="T11" s="198">
        <v>2618</v>
      </c>
      <c r="U11" s="52" t="s">
        <v>126</v>
      </c>
      <c r="V11" s="557"/>
    </row>
    <row r="12" spans="1:22" s="6" customFormat="1" ht="15.95" customHeight="1">
      <c r="A12" s="554"/>
      <c r="B12" s="52" t="s">
        <v>127</v>
      </c>
      <c r="C12" s="198">
        <v>405400</v>
      </c>
      <c r="D12" s="198">
        <v>82130</v>
      </c>
      <c r="E12" s="198">
        <v>24057</v>
      </c>
      <c r="F12" s="198">
        <v>19097</v>
      </c>
      <c r="G12" s="198">
        <v>25965</v>
      </c>
      <c r="H12" s="198">
        <v>12397</v>
      </c>
      <c r="I12" s="198">
        <v>12620</v>
      </c>
      <c r="J12" s="198">
        <v>8398</v>
      </c>
      <c r="K12" s="198">
        <v>3203</v>
      </c>
      <c r="L12" s="198">
        <v>111999</v>
      </c>
      <c r="M12" s="198">
        <v>6139</v>
      </c>
      <c r="N12" s="198">
        <v>12019</v>
      </c>
      <c r="O12" s="198">
        <v>14133</v>
      </c>
      <c r="P12" s="198">
        <v>13898</v>
      </c>
      <c r="Q12" s="198">
        <v>12980</v>
      </c>
      <c r="R12" s="198">
        <v>18819</v>
      </c>
      <c r="S12" s="198">
        <v>20277</v>
      </c>
      <c r="T12" s="198">
        <v>7269</v>
      </c>
      <c r="U12" s="52" t="s">
        <v>127</v>
      </c>
      <c r="V12" s="557"/>
    </row>
    <row r="13" spans="1:22" s="6" customFormat="1" ht="5.0999999999999996" customHeight="1">
      <c r="A13" s="554"/>
      <c r="B13" s="95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95"/>
      <c r="V13" s="557"/>
    </row>
    <row r="14" spans="1:22" s="6" customFormat="1" ht="5.0999999999999996" customHeight="1">
      <c r="A14" s="558" t="s">
        <v>128</v>
      </c>
      <c r="B14" s="52"/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52"/>
      <c r="V14" s="566" t="s">
        <v>128</v>
      </c>
    </row>
    <row r="15" spans="1:22" s="6" customFormat="1" ht="15.95" customHeight="1">
      <c r="A15" s="559"/>
      <c r="B15" s="52" t="s">
        <v>48</v>
      </c>
      <c r="C15" s="198">
        <v>6117784</v>
      </c>
      <c r="D15" s="198">
        <v>1271697</v>
      </c>
      <c r="E15" s="198">
        <v>374597</v>
      </c>
      <c r="F15" s="198">
        <v>272740</v>
      </c>
      <c r="G15" s="198">
        <v>363261</v>
      </c>
      <c r="H15" s="198">
        <v>176551</v>
      </c>
      <c r="I15" s="198">
        <v>204548</v>
      </c>
      <c r="J15" s="198">
        <v>119679</v>
      </c>
      <c r="K15" s="198">
        <v>54402</v>
      </c>
      <c r="L15" s="198">
        <v>1595903</v>
      </c>
      <c r="M15" s="198">
        <v>184212</v>
      </c>
      <c r="N15" s="198">
        <v>188412</v>
      </c>
      <c r="O15" s="198">
        <v>243591</v>
      </c>
      <c r="P15" s="198">
        <v>198670</v>
      </c>
      <c r="Q15" s="198">
        <v>184414</v>
      </c>
      <c r="R15" s="198">
        <v>269134</v>
      </c>
      <c r="S15" s="198">
        <v>334112</v>
      </c>
      <c r="T15" s="198">
        <v>81861</v>
      </c>
      <c r="U15" s="52" t="s">
        <v>48</v>
      </c>
      <c r="V15" s="567"/>
    </row>
    <row r="16" spans="1:22" s="6" customFormat="1" ht="15.95" customHeight="1">
      <c r="A16" s="559"/>
      <c r="B16" s="52" t="s">
        <v>121</v>
      </c>
      <c r="C16" s="198">
        <v>1309531</v>
      </c>
      <c r="D16" s="198">
        <v>220748</v>
      </c>
      <c r="E16" s="198">
        <v>83393</v>
      </c>
      <c r="F16" s="198">
        <v>60207</v>
      </c>
      <c r="G16" s="198">
        <v>68397</v>
      </c>
      <c r="H16" s="198">
        <v>39518</v>
      </c>
      <c r="I16" s="198">
        <v>45447</v>
      </c>
      <c r="J16" s="198">
        <v>27289</v>
      </c>
      <c r="K16" s="198">
        <v>13413</v>
      </c>
      <c r="L16" s="198">
        <v>327878</v>
      </c>
      <c r="M16" s="198">
        <v>48167</v>
      </c>
      <c r="N16" s="198">
        <v>45614</v>
      </c>
      <c r="O16" s="198">
        <v>63940</v>
      </c>
      <c r="P16" s="198">
        <v>45906</v>
      </c>
      <c r="Q16" s="198">
        <v>47113</v>
      </c>
      <c r="R16" s="198">
        <v>69457</v>
      </c>
      <c r="S16" s="198">
        <v>83917</v>
      </c>
      <c r="T16" s="198">
        <v>19127</v>
      </c>
      <c r="U16" s="52" t="s">
        <v>121</v>
      </c>
      <c r="V16" s="567"/>
    </row>
    <row r="17" spans="1:22" s="6" customFormat="1" ht="15.95" customHeight="1">
      <c r="A17" s="559"/>
      <c r="B17" s="52" t="s">
        <v>122</v>
      </c>
      <c r="C17" s="198">
        <v>1583687</v>
      </c>
      <c r="D17" s="198">
        <v>346632</v>
      </c>
      <c r="E17" s="198">
        <v>97618</v>
      </c>
      <c r="F17" s="198">
        <v>66333</v>
      </c>
      <c r="G17" s="198">
        <v>92615</v>
      </c>
      <c r="H17" s="198">
        <v>47717</v>
      </c>
      <c r="I17" s="198">
        <v>51348</v>
      </c>
      <c r="J17" s="198">
        <v>29828</v>
      </c>
      <c r="K17" s="198">
        <v>12613</v>
      </c>
      <c r="L17" s="198">
        <v>408383</v>
      </c>
      <c r="M17" s="198">
        <v>46092</v>
      </c>
      <c r="N17" s="198">
        <v>48545</v>
      </c>
      <c r="O17" s="198">
        <v>61130</v>
      </c>
      <c r="P17" s="198">
        <v>51766</v>
      </c>
      <c r="Q17" s="198">
        <v>50893</v>
      </c>
      <c r="R17" s="198">
        <v>69790</v>
      </c>
      <c r="S17" s="198">
        <v>80518</v>
      </c>
      <c r="T17" s="198">
        <v>21866</v>
      </c>
      <c r="U17" s="52" t="s">
        <v>122</v>
      </c>
      <c r="V17" s="567"/>
    </row>
    <row r="18" spans="1:22" s="6" customFormat="1" ht="15.95" customHeight="1">
      <c r="A18" s="559"/>
      <c r="B18" s="52" t="s">
        <v>123</v>
      </c>
      <c r="C18" s="198">
        <v>2064695</v>
      </c>
      <c r="D18" s="198">
        <v>471459</v>
      </c>
      <c r="E18" s="198">
        <v>122827</v>
      </c>
      <c r="F18" s="198">
        <v>90688</v>
      </c>
      <c r="G18" s="198">
        <v>138166</v>
      </c>
      <c r="H18" s="198">
        <v>53811</v>
      </c>
      <c r="I18" s="198">
        <v>70884</v>
      </c>
      <c r="J18" s="198">
        <v>39310</v>
      </c>
      <c r="K18" s="198">
        <v>17281</v>
      </c>
      <c r="L18" s="198">
        <v>564512</v>
      </c>
      <c r="M18" s="198">
        <v>58845</v>
      </c>
      <c r="N18" s="198">
        <v>60195</v>
      </c>
      <c r="O18" s="198">
        <v>72709</v>
      </c>
      <c r="P18" s="198">
        <v>61044</v>
      </c>
      <c r="Q18" s="198">
        <v>48069</v>
      </c>
      <c r="R18" s="198">
        <v>71562</v>
      </c>
      <c r="S18" s="198">
        <v>101054</v>
      </c>
      <c r="T18" s="198">
        <v>22279</v>
      </c>
      <c r="U18" s="52" t="s">
        <v>123</v>
      </c>
      <c r="V18" s="567"/>
    </row>
    <row r="19" spans="1:22" s="6" customFormat="1" ht="15.95" customHeight="1">
      <c r="A19" s="559"/>
      <c r="B19" s="52" t="s">
        <v>124</v>
      </c>
      <c r="C19" s="198">
        <v>365786</v>
      </c>
      <c r="D19" s="198">
        <v>57889</v>
      </c>
      <c r="E19" s="198">
        <v>20890</v>
      </c>
      <c r="F19" s="198">
        <v>18228</v>
      </c>
      <c r="G19" s="198">
        <v>17324</v>
      </c>
      <c r="H19" s="198">
        <v>11635</v>
      </c>
      <c r="I19" s="198">
        <v>11851</v>
      </c>
      <c r="J19" s="198">
        <v>8431</v>
      </c>
      <c r="K19" s="198">
        <v>4716</v>
      </c>
      <c r="L19" s="198">
        <v>87257</v>
      </c>
      <c r="M19" s="198">
        <v>12118</v>
      </c>
      <c r="N19" s="198">
        <v>12189</v>
      </c>
      <c r="O19" s="198">
        <v>17125</v>
      </c>
      <c r="P19" s="198">
        <v>13813</v>
      </c>
      <c r="Q19" s="198">
        <v>13866</v>
      </c>
      <c r="R19" s="198">
        <v>22930</v>
      </c>
      <c r="S19" s="198">
        <v>29035</v>
      </c>
      <c r="T19" s="198">
        <v>6489</v>
      </c>
      <c r="U19" s="52" t="s">
        <v>124</v>
      </c>
      <c r="V19" s="567"/>
    </row>
    <row r="20" spans="1:22" s="6" customFormat="1" ht="15.95" customHeight="1">
      <c r="A20" s="559"/>
      <c r="B20" s="52" t="s">
        <v>125</v>
      </c>
      <c r="C20" s="198">
        <v>321512</v>
      </c>
      <c r="D20" s="198">
        <v>76423</v>
      </c>
      <c r="E20" s="198">
        <v>21006</v>
      </c>
      <c r="F20" s="198">
        <v>15076</v>
      </c>
      <c r="G20" s="198">
        <v>18345</v>
      </c>
      <c r="H20" s="198">
        <v>9000</v>
      </c>
      <c r="I20" s="198">
        <v>10679</v>
      </c>
      <c r="J20" s="198">
        <v>5055</v>
      </c>
      <c r="K20" s="198">
        <v>2621</v>
      </c>
      <c r="L20" s="198">
        <v>82325</v>
      </c>
      <c r="M20" s="198">
        <v>8891</v>
      </c>
      <c r="N20" s="198">
        <v>8098</v>
      </c>
      <c r="O20" s="198">
        <v>11825</v>
      </c>
      <c r="P20" s="198">
        <v>9596</v>
      </c>
      <c r="Q20" s="198">
        <v>8889</v>
      </c>
      <c r="R20" s="198">
        <v>13951</v>
      </c>
      <c r="S20" s="198">
        <v>15647</v>
      </c>
      <c r="T20" s="198">
        <v>4085</v>
      </c>
      <c r="U20" s="52" t="s">
        <v>125</v>
      </c>
      <c r="V20" s="567"/>
    </row>
    <row r="21" spans="1:22" s="6" customFormat="1" ht="15.95" customHeight="1">
      <c r="A21" s="559"/>
      <c r="B21" s="52" t="s">
        <v>126</v>
      </c>
      <c r="C21" s="198">
        <v>67173</v>
      </c>
      <c r="D21" s="198">
        <v>12330</v>
      </c>
      <c r="E21" s="198">
        <v>3994</v>
      </c>
      <c r="F21" s="198">
        <v>3384</v>
      </c>
      <c r="G21" s="198">
        <v>3261</v>
      </c>
      <c r="H21" s="198">
        <v>2513</v>
      </c>
      <c r="I21" s="198">
        <v>1936</v>
      </c>
      <c r="J21" s="198">
        <v>1317</v>
      </c>
      <c r="K21" s="198">
        <v>492</v>
      </c>
      <c r="L21" s="198">
        <v>15867</v>
      </c>
      <c r="M21" s="198">
        <v>2302</v>
      </c>
      <c r="N21" s="198">
        <v>2311</v>
      </c>
      <c r="O21" s="198">
        <v>2686</v>
      </c>
      <c r="P21" s="198">
        <v>2953</v>
      </c>
      <c r="Q21" s="198">
        <v>3013</v>
      </c>
      <c r="R21" s="198">
        <v>3405</v>
      </c>
      <c r="S21" s="198">
        <v>4360</v>
      </c>
      <c r="T21" s="198">
        <v>1049</v>
      </c>
      <c r="U21" s="52" t="s">
        <v>126</v>
      </c>
      <c r="V21" s="567"/>
    </row>
    <row r="22" spans="1:22" s="6" customFormat="1" ht="15.95" customHeight="1">
      <c r="A22" s="559"/>
      <c r="B22" s="52" t="s">
        <v>127</v>
      </c>
      <c r="C22" s="198">
        <v>405400</v>
      </c>
      <c r="D22" s="198">
        <v>86216</v>
      </c>
      <c r="E22" s="198">
        <v>24869</v>
      </c>
      <c r="F22" s="198">
        <v>18824</v>
      </c>
      <c r="G22" s="198">
        <v>25153</v>
      </c>
      <c r="H22" s="198">
        <v>12357</v>
      </c>
      <c r="I22" s="198">
        <v>12403</v>
      </c>
      <c r="J22" s="198">
        <v>8449</v>
      </c>
      <c r="K22" s="198">
        <v>3266</v>
      </c>
      <c r="L22" s="198">
        <v>109681</v>
      </c>
      <c r="M22" s="198">
        <v>7797</v>
      </c>
      <c r="N22" s="198">
        <v>11460</v>
      </c>
      <c r="O22" s="198">
        <v>14176</v>
      </c>
      <c r="P22" s="198">
        <v>13592</v>
      </c>
      <c r="Q22" s="198">
        <v>12571</v>
      </c>
      <c r="R22" s="198">
        <v>18039</v>
      </c>
      <c r="S22" s="198">
        <v>19581</v>
      </c>
      <c r="T22" s="198">
        <v>6966</v>
      </c>
      <c r="U22" s="52" t="s">
        <v>127</v>
      </c>
      <c r="V22" s="567"/>
    </row>
    <row r="23" spans="1:22" s="221" customFormat="1" ht="5.0999999999999996" customHeight="1">
      <c r="A23" s="560"/>
      <c r="B23" s="95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95"/>
      <c r="V23" s="565"/>
    </row>
    <row r="24" spans="1:22" s="6" customFormat="1" ht="5.0999999999999996" customHeight="1">
      <c r="A24" s="561" t="s">
        <v>130</v>
      </c>
      <c r="B24" s="52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52"/>
      <c r="V24" s="563" t="s">
        <v>130</v>
      </c>
    </row>
    <row r="25" spans="1:22" s="6" customFormat="1" ht="15.95" customHeight="1">
      <c r="A25" s="562"/>
      <c r="B25" s="52" t="s">
        <v>48</v>
      </c>
      <c r="C25" s="198">
        <v>2185913</v>
      </c>
      <c r="D25" s="198">
        <v>438327</v>
      </c>
      <c r="E25" s="198">
        <v>106238</v>
      </c>
      <c r="F25" s="198">
        <v>84912</v>
      </c>
      <c r="G25" s="198">
        <v>162234</v>
      </c>
      <c r="H25" s="198">
        <v>53727</v>
      </c>
      <c r="I25" s="198">
        <v>80012</v>
      </c>
      <c r="J25" s="198">
        <v>41059</v>
      </c>
      <c r="K25" s="198">
        <v>33348</v>
      </c>
      <c r="L25" s="198">
        <v>541812</v>
      </c>
      <c r="M25" s="198">
        <v>69155</v>
      </c>
      <c r="N25" s="198">
        <v>81755</v>
      </c>
      <c r="O25" s="198">
        <v>115262</v>
      </c>
      <c r="P25" s="198">
        <v>56520</v>
      </c>
      <c r="Q25" s="198">
        <v>73852</v>
      </c>
      <c r="R25" s="198">
        <v>107915</v>
      </c>
      <c r="S25" s="198">
        <v>111449</v>
      </c>
      <c r="T25" s="198">
        <v>28336</v>
      </c>
      <c r="U25" s="52" t="s">
        <v>48</v>
      </c>
      <c r="V25" s="564"/>
    </row>
    <row r="26" spans="1:22" s="6" customFormat="1" ht="15.95" customHeight="1">
      <c r="A26" s="562"/>
      <c r="B26" s="52" t="s">
        <v>121</v>
      </c>
      <c r="C26" s="198">
        <v>711486</v>
      </c>
      <c r="D26" s="198">
        <v>149837</v>
      </c>
      <c r="E26" s="198">
        <v>36099</v>
      </c>
      <c r="F26" s="198">
        <v>25120</v>
      </c>
      <c r="G26" s="198">
        <v>44520</v>
      </c>
      <c r="H26" s="198">
        <v>15701</v>
      </c>
      <c r="I26" s="198">
        <v>29544</v>
      </c>
      <c r="J26" s="198">
        <v>18140</v>
      </c>
      <c r="K26" s="198">
        <v>11702</v>
      </c>
      <c r="L26" s="198">
        <v>154700</v>
      </c>
      <c r="M26" s="198">
        <v>25747</v>
      </c>
      <c r="N26" s="198">
        <v>31735</v>
      </c>
      <c r="O26" s="198">
        <v>44618</v>
      </c>
      <c r="P26" s="198">
        <v>17381</v>
      </c>
      <c r="Q26" s="198">
        <v>23989</v>
      </c>
      <c r="R26" s="198">
        <v>35916</v>
      </c>
      <c r="S26" s="198">
        <v>36474</v>
      </c>
      <c r="T26" s="198">
        <v>10263</v>
      </c>
      <c r="U26" s="52" t="s">
        <v>121</v>
      </c>
      <c r="V26" s="564"/>
    </row>
    <row r="27" spans="1:22" s="6" customFormat="1" ht="15.95" customHeight="1">
      <c r="A27" s="562"/>
      <c r="B27" s="51" t="s">
        <v>122</v>
      </c>
      <c r="C27" s="198">
        <v>630519</v>
      </c>
      <c r="D27" s="198">
        <v>108470</v>
      </c>
      <c r="E27" s="198">
        <v>30348</v>
      </c>
      <c r="F27" s="198">
        <v>28024</v>
      </c>
      <c r="G27" s="198">
        <v>45359</v>
      </c>
      <c r="H27" s="198">
        <v>18322</v>
      </c>
      <c r="I27" s="198">
        <v>20039</v>
      </c>
      <c r="J27" s="198">
        <v>13227</v>
      </c>
      <c r="K27" s="198">
        <v>10311</v>
      </c>
      <c r="L27" s="198">
        <v>163801</v>
      </c>
      <c r="M27" s="198">
        <v>19242</v>
      </c>
      <c r="N27" s="198">
        <v>21945</v>
      </c>
      <c r="O27" s="198">
        <v>30993</v>
      </c>
      <c r="P27" s="198">
        <v>18151</v>
      </c>
      <c r="Q27" s="198">
        <v>25519</v>
      </c>
      <c r="R27" s="198">
        <v>31516</v>
      </c>
      <c r="S27" s="198">
        <v>37694</v>
      </c>
      <c r="T27" s="198">
        <v>7558</v>
      </c>
      <c r="U27" s="51" t="s">
        <v>122</v>
      </c>
      <c r="V27" s="564"/>
    </row>
    <row r="28" spans="1:22" s="6" customFormat="1" ht="15.95" customHeight="1">
      <c r="A28" s="562"/>
      <c r="B28" s="51" t="s">
        <v>123</v>
      </c>
      <c r="C28" s="198">
        <v>394444</v>
      </c>
      <c r="D28" s="198">
        <v>74362</v>
      </c>
      <c r="E28" s="198">
        <v>14201</v>
      </c>
      <c r="F28" s="198">
        <v>12808</v>
      </c>
      <c r="G28" s="198">
        <v>46149</v>
      </c>
      <c r="H28" s="198">
        <v>7505</v>
      </c>
      <c r="I28" s="198">
        <v>9782</v>
      </c>
      <c r="J28" s="198">
        <v>3969</v>
      </c>
      <c r="K28" s="198">
        <v>5410</v>
      </c>
      <c r="L28" s="198">
        <v>130317</v>
      </c>
      <c r="M28" s="198">
        <v>10319</v>
      </c>
      <c r="N28" s="198">
        <v>11839</v>
      </c>
      <c r="O28" s="198">
        <v>16792</v>
      </c>
      <c r="P28" s="198">
        <v>7333</v>
      </c>
      <c r="Q28" s="198">
        <v>9708</v>
      </c>
      <c r="R28" s="198">
        <v>13570</v>
      </c>
      <c r="S28" s="198">
        <v>17191</v>
      </c>
      <c r="T28" s="198">
        <v>3189</v>
      </c>
      <c r="U28" s="51" t="s">
        <v>123</v>
      </c>
      <c r="V28" s="564"/>
    </row>
    <row r="29" spans="1:22" s="6" customFormat="1" ht="15.95" customHeight="1">
      <c r="A29" s="562"/>
      <c r="B29" s="51" t="s">
        <v>124</v>
      </c>
      <c r="C29" s="198">
        <v>200155</v>
      </c>
      <c r="D29" s="198">
        <v>57134</v>
      </c>
      <c r="E29" s="198">
        <v>14296</v>
      </c>
      <c r="F29" s="198">
        <v>9427</v>
      </c>
      <c r="G29" s="198">
        <v>8609</v>
      </c>
      <c r="H29" s="198">
        <v>5624</v>
      </c>
      <c r="I29" s="198">
        <v>12732</v>
      </c>
      <c r="J29" s="198">
        <v>2183</v>
      </c>
      <c r="K29" s="198">
        <v>2490</v>
      </c>
      <c r="L29" s="198">
        <v>31125</v>
      </c>
      <c r="M29" s="198">
        <v>6342</v>
      </c>
      <c r="N29" s="198">
        <v>7842</v>
      </c>
      <c r="O29" s="198">
        <v>10612</v>
      </c>
      <c r="P29" s="198">
        <v>6170</v>
      </c>
      <c r="Q29" s="198">
        <v>3964</v>
      </c>
      <c r="R29" s="198">
        <v>12352</v>
      </c>
      <c r="S29" s="198">
        <v>6981</v>
      </c>
      <c r="T29" s="198">
        <v>2272</v>
      </c>
      <c r="U29" s="51" t="s">
        <v>124</v>
      </c>
      <c r="V29" s="564"/>
    </row>
    <row r="30" spans="1:22" s="6" customFormat="1" ht="15.95" customHeight="1">
      <c r="A30" s="562"/>
      <c r="B30" s="52" t="s">
        <v>125</v>
      </c>
      <c r="C30" s="198">
        <v>83280</v>
      </c>
      <c r="D30" s="198">
        <v>21933</v>
      </c>
      <c r="E30" s="198">
        <v>4288</v>
      </c>
      <c r="F30" s="198">
        <v>3513</v>
      </c>
      <c r="G30" s="198">
        <v>6663</v>
      </c>
      <c r="H30" s="198">
        <v>2262</v>
      </c>
      <c r="I30" s="198">
        <v>3131</v>
      </c>
      <c r="J30" s="198">
        <v>754</v>
      </c>
      <c r="K30" s="198">
        <v>1310</v>
      </c>
      <c r="L30" s="198">
        <v>21658</v>
      </c>
      <c r="M30" s="198">
        <v>2020</v>
      </c>
      <c r="N30" s="198">
        <v>1763</v>
      </c>
      <c r="O30" s="198">
        <v>3202</v>
      </c>
      <c r="P30" s="198">
        <v>1645</v>
      </c>
      <c r="Q30" s="198">
        <v>1904</v>
      </c>
      <c r="R30" s="198">
        <v>3469</v>
      </c>
      <c r="S30" s="198">
        <v>3013</v>
      </c>
      <c r="T30" s="198">
        <v>752</v>
      </c>
      <c r="U30" s="52" t="s">
        <v>125</v>
      </c>
      <c r="V30" s="564"/>
    </row>
    <row r="31" spans="1:22" s="6" customFormat="1" ht="15.95" customHeight="1">
      <c r="A31" s="562"/>
      <c r="B31" s="52" t="s">
        <v>126</v>
      </c>
      <c r="C31" s="198">
        <v>32906</v>
      </c>
      <c r="D31" s="198">
        <v>1028</v>
      </c>
      <c r="E31" s="198">
        <v>817</v>
      </c>
      <c r="F31" s="198">
        <v>556</v>
      </c>
      <c r="G31" s="198">
        <v>1288</v>
      </c>
      <c r="H31" s="198">
        <v>357</v>
      </c>
      <c r="I31" s="198">
        <v>366</v>
      </c>
      <c r="J31" s="198">
        <v>318</v>
      </c>
      <c r="K31" s="198">
        <v>271</v>
      </c>
      <c r="L31" s="198">
        <v>6244</v>
      </c>
      <c r="M31" s="198">
        <v>3154</v>
      </c>
      <c r="N31" s="198">
        <v>2021</v>
      </c>
      <c r="O31" s="198">
        <v>2717</v>
      </c>
      <c r="P31" s="198">
        <v>1824</v>
      </c>
      <c r="Q31" s="198">
        <v>3611</v>
      </c>
      <c r="R31" s="198">
        <v>3407</v>
      </c>
      <c r="S31" s="198">
        <v>3028</v>
      </c>
      <c r="T31" s="198">
        <v>1899</v>
      </c>
      <c r="U31" s="52" t="s">
        <v>126</v>
      </c>
      <c r="V31" s="564"/>
    </row>
    <row r="32" spans="1:22" s="6" customFormat="1" ht="15.95" customHeight="1">
      <c r="A32" s="562"/>
      <c r="B32" s="52" t="s">
        <v>127</v>
      </c>
      <c r="C32" s="198">
        <v>133123</v>
      </c>
      <c r="D32" s="198">
        <v>25563</v>
      </c>
      <c r="E32" s="198">
        <v>6189</v>
      </c>
      <c r="F32" s="198">
        <v>5464</v>
      </c>
      <c r="G32" s="198">
        <v>9646</v>
      </c>
      <c r="H32" s="198">
        <v>3956</v>
      </c>
      <c r="I32" s="198">
        <v>4418</v>
      </c>
      <c r="J32" s="198">
        <v>2468</v>
      </c>
      <c r="K32" s="198">
        <v>1854</v>
      </c>
      <c r="L32" s="198">
        <v>33967</v>
      </c>
      <c r="M32" s="198">
        <v>2331</v>
      </c>
      <c r="N32" s="198">
        <v>4610</v>
      </c>
      <c r="O32" s="198">
        <v>6328</v>
      </c>
      <c r="P32" s="198">
        <v>4016</v>
      </c>
      <c r="Q32" s="198">
        <v>5157</v>
      </c>
      <c r="R32" s="198">
        <v>7685</v>
      </c>
      <c r="S32" s="198">
        <v>7068</v>
      </c>
      <c r="T32" s="198">
        <v>2403</v>
      </c>
      <c r="U32" s="52" t="s">
        <v>127</v>
      </c>
      <c r="V32" s="564"/>
    </row>
    <row r="33" spans="1:22" s="221" customFormat="1" ht="5.0999999999999996" customHeight="1">
      <c r="A33" s="560"/>
      <c r="B33" s="95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95"/>
      <c r="V33" s="565"/>
    </row>
    <row r="34" spans="1:22" s="6" customFormat="1" ht="5.0999999999999996" customHeight="1">
      <c r="A34" s="561" t="s">
        <v>131</v>
      </c>
      <c r="B34" s="52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52"/>
      <c r="V34" s="563" t="s">
        <v>131</v>
      </c>
    </row>
    <row r="35" spans="1:22" s="6" customFormat="1" ht="15.95" customHeight="1">
      <c r="A35" s="562"/>
      <c r="B35" s="52" t="s">
        <v>48</v>
      </c>
      <c r="C35" s="198">
        <v>2185913</v>
      </c>
      <c r="D35" s="198">
        <v>465096</v>
      </c>
      <c r="E35" s="198">
        <v>118419</v>
      </c>
      <c r="F35" s="198">
        <v>89184</v>
      </c>
      <c r="G35" s="198">
        <v>129970</v>
      </c>
      <c r="H35" s="198">
        <v>67405</v>
      </c>
      <c r="I35" s="198">
        <v>77188</v>
      </c>
      <c r="J35" s="198">
        <v>46533</v>
      </c>
      <c r="K35" s="198">
        <v>33395</v>
      </c>
      <c r="L35" s="198">
        <v>508842</v>
      </c>
      <c r="M35" s="198">
        <v>70542</v>
      </c>
      <c r="N35" s="198">
        <v>70966</v>
      </c>
      <c r="O35" s="198">
        <v>106996</v>
      </c>
      <c r="P35" s="198">
        <v>60095</v>
      </c>
      <c r="Q35" s="198">
        <v>72518</v>
      </c>
      <c r="R35" s="198">
        <v>117129</v>
      </c>
      <c r="S35" s="198">
        <v>119026</v>
      </c>
      <c r="T35" s="198">
        <v>32609</v>
      </c>
      <c r="U35" s="52" t="s">
        <v>48</v>
      </c>
      <c r="V35" s="564"/>
    </row>
    <row r="36" spans="1:22" s="6" customFormat="1" ht="15.95" customHeight="1">
      <c r="A36" s="562"/>
      <c r="B36" s="52" t="s">
        <v>121</v>
      </c>
      <c r="C36" s="198">
        <v>711486</v>
      </c>
      <c r="D36" s="198">
        <v>103987</v>
      </c>
      <c r="E36" s="198">
        <v>45162</v>
      </c>
      <c r="F36" s="198">
        <v>36996</v>
      </c>
      <c r="G36" s="198">
        <v>41547</v>
      </c>
      <c r="H36" s="198">
        <v>25818</v>
      </c>
      <c r="I36" s="198">
        <v>28832</v>
      </c>
      <c r="J36" s="198">
        <v>17755</v>
      </c>
      <c r="K36" s="198">
        <v>11123</v>
      </c>
      <c r="L36" s="198">
        <v>155482</v>
      </c>
      <c r="M36" s="198">
        <v>28421</v>
      </c>
      <c r="N36" s="198">
        <v>26585</v>
      </c>
      <c r="O36" s="198">
        <v>39273</v>
      </c>
      <c r="P36" s="198">
        <v>23998</v>
      </c>
      <c r="Q36" s="198">
        <v>25995</v>
      </c>
      <c r="R36" s="198">
        <v>41985</v>
      </c>
      <c r="S36" s="198">
        <v>46967</v>
      </c>
      <c r="T36" s="198">
        <v>11560</v>
      </c>
      <c r="U36" s="52" t="s">
        <v>121</v>
      </c>
      <c r="V36" s="564"/>
    </row>
    <row r="37" spans="1:22" s="6" customFormat="1" ht="15.95" customHeight="1">
      <c r="A37" s="562"/>
      <c r="B37" s="52" t="s">
        <v>122</v>
      </c>
      <c r="C37" s="198">
        <v>630519</v>
      </c>
      <c r="D37" s="198">
        <v>156893</v>
      </c>
      <c r="E37" s="198">
        <v>33707</v>
      </c>
      <c r="F37" s="198">
        <v>22256</v>
      </c>
      <c r="G37" s="198">
        <v>37244</v>
      </c>
      <c r="H37" s="198">
        <v>18810</v>
      </c>
      <c r="I37" s="198">
        <v>23458</v>
      </c>
      <c r="J37" s="198">
        <v>10953</v>
      </c>
      <c r="K37" s="198">
        <v>8841</v>
      </c>
      <c r="L37" s="198">
        <v>141677</v>
      </c>
      <c r="M37" s="198">
        <v>20156</v>
      </c>
      <c r="N37" s="198">
        <v>20383</v>
      </c>
      <c r="O37" s="198">
        <v>30223</v>
      </c>
      <c r="P37" s="198">
        <v>15607</v>
      </c>
      <c r="Q37" s="198">
        <v>20128</v>
      </c>
      <c r="R37" s="198">
        <v>33246</v>
      </c>
      <c r="S37" s="198">
        <v>27425</v>
      </c>
      <c r="T37" s="198">
        <v>9512</v>
      </c>
      <c r="U37" s="52" t="s">
        <v>122</v>
      </c>
      <c r="V37" s="564"/>
    </row>
    <row r="38" spans="1:22" s="6" customFormat="1" ht="15.95" customHeight="1">
      <c r="A38" s="562"/>
      <c r="B38" s="52" t="s">
        <v>123</v>
      </c>
      <c r="C38" s="198">
        <v>394444</v>
      </c>
      <c r="D38" s="198">
        <v>123803</v>
      </c>
      <c r="E38" s="198">
        <v>16319</v>
      </c>
      <c r="F38" s="198">
        <v>10067</v>
      </c>
      <c r="G38" s="198">
        <v>24287</v>
      </c>
      <c r="H38" s="198">
        <v>8307</v>
      </c>
      <c r="I38" s="198">
        <v>10244</v>
      </c>
      <c r="J38" s="198">
        <v>6905</v>
      </c>
      <c r="K38" s="198">
        <v>6324</v>
      </c>
      <c r="L38" s="198">
        <v>104282</v>
      </c>
      <c r="M38" s="198">
        <v>8442</v>
      </c>
      <c r="N38" s="198">
        <v>9160</v>
      </c>
      <c r="O38" s="198">
        <v>15073</v>
      </c>
      <c r="P38" s="198">
        <v>6859</v>
      </c>
      <c r="Q38" s="198">
        <v>9544</v>
      </c>
      <c r="R38" s="198">
        <v>15728</v>
      </c>
      <c r="S38" s="198">
        <v>15286</v>
      </c>
      <c r="T38" s="198">
        <v>3814</v>
      </c>
      <c r="U38" s="52" t="s">
        <v>123</v>
      </c>
      <c r="V38" s="564"/>
    </row>
    <row r="39" spans="1:22" s="6" customFormat="1" ht="15.95" customHeight="1">
      <c r="A39" s="562"/>
      <c r="B39" s="52" t="s">
        <v>124</v>
      </c>
      <c r="C39" s="198">
        <v>200155</v>
      </c>
      <c r="D39" s="198">
        <v>22658</v>
      </c>
      <c r="E39" s="198">
        <v>10817</v>
      </c>
      <c r="F39" s="198">
        <v>10008</v>
      </c>
      <c r="G39" s="198">
        <v>10869</v>
      </c>
      <c r="H39" s="198">
        <v>6755</v>
      </c>
      <c r="I39" s="198">
        <v>7053</v>
      </c>
      <c r="J39" s="198">
        <v>6290</v>
      </c>
      <c r="K39" s="198">
        <v>3674</v>
      </c>
      <c r="L39" s="198">
        <v>45789</v>
      </c>
      <c r="M39" s="198">
        <v>6527</v>
      </c>
      <c r="N39" s="198">
        <v>7539</v>
      </c>
      <c r="O39" s="198">
        <v>10977</v>
      </c>
      <c r="P39" s="198">
        <v>7336</v>
      </c>
      <c r="Q39" s="198">
        <v>8363</v>
      </c>
      <c r="R39" s="198">
        <v>13776</v>
      </c>
      <c r="S39" s="198">
        <v>17593</v>
      </c>
      <c r="T39" s="198">
        <v>4131</v>
      </c>
      <c r="U39" s="52" t="s">
        <v>124</v>
      </c>
      <c r="V39" s="564"/>
    </row>
    <row r="40" spans="1:22" s="6" customFormat="1" ht="15.95" customHeight="1">
      <c r="A40" s="562"/>
      <c r="B40" s="52" t="s">
        <v>125</v>
      </c>
      <c r="C40" s="198">
        <v>83280</v>
      </c>
      <c r="D40" s="198">
        <v>18742</v>
      </c>
      <c r="E40" s="198">
        <v>3373</v>
      </c>
      <c r="F40" s="198">
        <v>2729</v>
      </c>
      <c r="G40" s="198">
        <v>5356</v>
      </c>
      <c r="H40" s="198">
        <v>1906</v>
      </c>
      <c r="I40" s="198">
        <v>2140</v>
      </c>
      <c r="J40" s="198">
        <v>1418</v>
      </c>
      <c r="K40" s="198">
        <v>1159</v>
      </c>
      <c r="L40" s="198">
        <v>22498</v>
      </c>
      <c r="M40" s="198">
        <v>2351</v>
      </c>
      <c r="N40" s="198">
        <v>2491</v>
      </c>
      <c r="O40" s="198">
        <v>4016</v>
      </c>
      <c r="P40" s="198">
        <v>2009</v>
      </c>
      <c r="Q40" s="198">
        <v>3030</v>
      </c>
      <c r="R40" s="198">
        <v>4533</v>
      </c>
      <c r="S40" s="198">
        <v>4367</v>
      </c>
      <c r="T40" s="198">
        <v>1162</v>
      </c>
      <c r="U40" s="52" t="s">
        <v>125</v>
      </c>
      <c r="V40" s="564"/>
    </row>
    <row r="41" spans="1:22" s="6" customFormat="1" ht="15.95" customHeight="1">
      <c r="A41" s="562"/>
      <c r="B41" s="52" t="s">
        <v>126</v>
      </c>
      <c r="C41" s="198">
        <v>32906</v>
      </c>
      <c r="D41" s="198">
        <v>9364</v>
      </c>
      <c r="E41" s="198">
        <v>2040</v>
      </c>
      <c r="F41" s="198">
        <v>1937</v>
      </c>
      <c r="G41" s="198">
        <v>1833</v>
      </c>
      <c r="H41" s="198">
        <v>1893</v>
      </c>
      <c r="I41" s="198">
        <v>1260</v>
      </c>
      <c r="J41" s="198">
        <v>693</v>
      </c>
      <c r="K41" s="198">
        <v>357</v>
      </c>
      <c r="L41" s="198">
        <v>7465</v>
      </c>
      <c r="M41" s="198">
        <v>656</v>
      </c>
      <c r="N41" s="198">
        <v>757</v>
      </c>
      <c r="O41" s="198">
        <v>1063</v>
      </c>
      <c r="P41" s="198">
        <v>576</v>
      </c>
      <c r="Q41" s="198">
        <v>710</v>
      </c>
      <c r="R41" s="198">
        <v>956</v>
      </c>
      <c r="S41" s="198">
        <v>1016</v>
      </c>
      <c r="T41" s="198">
        <v>330</v>
      </c>
      <c r="U41" s="52" t="s">
        <v>126</v>
      </c>
      <c r="V41" s="564"/>
    </row>
    <row r="42" spans="1:22" s="6" customFormat="1" ht="15.95" customHeight="1">
      <c r="A42" s="562"/>
      <c r="B42" s="52" t="s">
        <v>127</v>
      </c>
      <c r="C42" s="198">
        <v>133123</v>
      </c>
      <c r="D42" s="198">
        <v>29649</v>
      </c>
      <c r="E42" s="198">
        <v>7001</v>
      </c>
      <c r="F42" s="198">
        <v>5191</v>
      </c>
      <c r="G42" s="198">
        <v>8834</v>
      </c>
      <c r="H42" s="198">
        <v>3916</v>
      </c>
      <c r="I42" s="198">
        <v>4201</v>
      </c>
      <c r="J42" s="198">
        <v>2519</v>
      </c>
      <c r="K42" s="198">
        <v>1917</v>
      </c>
      <c r="L42" s="198">
        <v>31649</v>
      </c>
      <c r="M42" s="198">
        <v>3989</v>
      </c>
      <c r="N42" s="198">
        <v>4051</v>
      </c>
      <c r="O42" s="198">
        <v>6371</v>
      </c>
      <c r="P42" s="198">
        <v>3710</v>
      </c>
      <c r="Q42" s="198">
        <v>4748</v>
      </c>
      <c r="R42" s="198">
        <v>6905</v>
      </c>
      <c r="S42" s="198">
        <v>6372</v>
      </c>
      <c r="T42" s="198">
        <v>2100</v>
      </c>
      <c r="U42" s="52" t="s">
        <v>127</v>
      </c>
      <c r="V42" s="564"/>
    </row>
    <row r="43" spans="1:22" s="221" customFormat="1" ht="5.0999999999999996" customHeight="1">
      <c r="A43" s="560"/>
      <c r="B43" s="95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95"/>
      <c r="V43" s="565"/>
    </row>
    <row r="44" spans="1:22" s="6" customFormat="1" ht="5.0999999999999996" customHeight="1">
      <c r="A44" s="555" t="s">
        <v>132</v>
      </c>
      <c r="B44" s="52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52"/>
      <c r="V44" s="509" t="s">
        <v>132</v>
      </c>
    </row>
    <row r="45" spans="1:22" s="6" customFormat="1" ht="15.95" customHeight="1">
      <c r="A45" s="487"/>
      <c r="B45" s="52" t="s">
        <v>48</v>
      </c>
      <c r="C45" s="198">
        <v>0</v>
      </c>
      <c r="D45" s="336">
        <v>-26769</v>
      </c>
      <c r="E45" s="336">
        <v>-12181</v>
      </c>
      <c r="F45" s="336">
        <v>-4272</v>
      </c>
      <c r="G45" s="336">
        <v>32264</v>
      </c>
      <c r="H45" s="336">
        <v>-13678</v>
      </c>
      <c r="I45" s="336">
        <v>2824</v>
      </c>
      <c r="J45" s="336">
        <v>-5474</v>
      </c>
      <c r="K45" s="336">
        <v>-47</v>
      </c>
      <c r="L45" s="336">
        <v>32970</v>
      </c>
      <c r="M45" s="336">
        <v>-1387</v>
      </c>
      <c r="N45" s="336">
        <v>10789</v>
      </c>
      <c r="O45" s="336">
        <v>8266</v>
      </c>
      <c r="P45" s="336">
        <v>-3575</v>
      </c>
      <c r="Q45" s="336">
        <v>1334</v>
      </c>
      <c r="R45" s="336">
        <v>-9214</v>
      </c>
      <c r="S45" s="336">
        <v>-7577</v>
      </c>
      <c r="T45" s="336">
        <v>-4273</v>
      </c>
      <c r="U45" s="52" t="s">
        <v>48</v>
      </c>
      <c r="V45" s="510"/>
    </row>
    <row r="46" spans="1:22" s="6" customFormat="1" ht="15.95" customHeight="1">
      <c r="A46" s="487"/>
      <c r="B46" s="52" t="s">
        <v>121</v>
      </c>
      <c r="C46" s="198">
        <v>0</v>
      </c>
      <c r="D46" s="336">
        <v>45850</v>
      </c>
      <c r="E46" s="336">
        <v>-9063</v>
      </c>
      <c r="F46" s="336">
        <v>-11876</v>
      </c>
      <c r="G46" s="336">
        <v>2973</v>
      </c>
      <c r="H46" s="336">
        <v>-10117</v>
      </c>
      <c r="I46" s="336">
        <v>712</v>
      </c>
      <c r="J46" s="336">
        <v>385</v>
      </c>
      <c r="K46" s="336">
        <v>579</v>
      </c>
      <c r="L46" s="336">
        <v>-782</v>
      </c>
      <c r="M46" s="336">
        <v>-2674</v>
      </c>
      <c r="N46" s="336">
        <v>5150</v>
      </c>
      <c r="O46" s="336">
        <v>5345</v>
      </c>
      <c r="P46" s="336">
        <v>-6617</v>
      </c>
      <c r="Q46" s="336">
        <v>-2006</v>
      </c>
      <c r="R46" s="336">
        <v>-6069</v>
      </c>
      <c r="S46" s="336">
        <v>-10493</v>
      </c>
      <c r="T46" s="336">
        <v>-1297</v>
      </c>
      <c r="U46" s="52" t="s">
        <v>121</v>
      </c>
      <c r="V46" s="510"/>
    </row>
    <row r="47" spans="1:22" s="6" customFormat="1" ht="15.95" customHeight="1">
      <c r="A47" s="487"/>
      <c r="B47" s="52" t="s">
        <v>122</v>
      </c>
      <c r="C47" s="198">
        <v>0</v>
      </c>
      <c r="D47" s="336">
        <v>-48423</v>
      </c>
      <c r="E47" s="336">
        <v>-3359</v>
      </c>
      <c r="F47" s="336">
        <v>5768</v>
      </c>
      <c r="G47" s="336">
        <v>8115</v>
      </c>
      <c r="H47" s="336">
        <v>-488</v>
      </c>
      <c r="I47" s="336">
        <v>-3419</v>
      </c>
      <c r="J47" s="336">
        <v>2274</v>
      </c>
      <c r="K47" s="336">
        <v>1470</v>
      </c>
      <c r="L47" s="336">
        <v>22124</v>
      </c>
      <c r="M47" s="336">
        <v>-914</v>
      </c>
      <c r="N47" s="336">
        <v>1562</v>
      </c>
      <c r="O47" s="336">
        <v>770</v>
      </c>
      <c r="P47" s="336">
        <v>2544</v>
      </c>
      <c r="Q47" s="336">
        <v>5391</v>
      </c>
      <c r="R47" s="336">
        <v>-1730</v>
      </c>
      <c r="S47" s="336">
        <v>10269</v>
      </c>
      <c r="T47" s="336">
        <v>-1954</v>
      </c>
      <c r="U47" s="52" t="s">
        <v>122</v>
      </c>
      <c r="V47" s="510"/>
    </row>
    <row r="48" spans="1:22" s="6" customFormat="1" ht="15.95" customHeight="1">
      <c r="A48" s="487"/>
      <c r="B48" s="52" t="s">
        <v>123</v>
      </c>
      <c r="C48" s="198">
        <v>0</v>
      </c>
      <c r="D48" s="336">
        <v>-49441</v>
      </c>
      <c r="E48" s="336">
        <v>-2118</v>
      </c>
      <c r="F48" s="336">
        <v>2741</v>
      </c>
      <c r="G48" s="336">
        <v>21862</v>
      </c>
      <c r="H48" s="336">
        <v>-802</v>
      </c>
      <c r="I48" s="336">
        <v>-462</v>
      </c>
      <c r="J48" s="336">
        <v>-2936</v>
      </c>
      <c r="K48" s="336">
        <v>-914</v>
      </c>
      <c r="L48" s="336">
        <v>26035</v>
      </c>
      <c r="M48" s="336">
        <v>1877</v>
      </c>
      <c r="N48" s="336">
        <v>2679</v>
      </c>
      <c r="O48" s="336">
        <v>1719</v>
      </c>
      <c r="P48" s="336">
        <v>474</v>
      </c>
      <c r="Q48" s="336">
        <v>164</v>
      </c>
      <c r="R48" s="336">
        <v>-2158</v>
      </c>
      <c r="S48" s="336">
        <v>1905</v>
      </c>
      <c r="T48" s="336">
        <v>-625</v>
      </c>
      <c r="U48" s="52" t="s">
        <v>123</v>
      </c>
      <c r="V48" s="510"/>
    </row>
    <row r="49" spans="1:22" s="6" customFormat="1" ht="15.95" customHeight="1">
      <c r="A49" s="487"/>
      <c r="B49" s="51" t="s">
        <v>124</v>
      </c>
      <c r="C49" s="198">
        <v>0</v>
      </c>
      <c r="D49" s="336">
        <v>34476</v>
      </c>
      <c r="E49" s="336">
        <v>3479</v>
      </c>
      <c r="F49" s="336">
        <v>-581</v>
      </c>
      <c r="G49" s="336">
        <v>-2260</v>
      </c>
      <c r="H49" s="336">
        <v>-1131</v>
      </c>
      <c r="I49" s="336">
        <v>5679</v>
      </c>
      <c r="J49" s="336">
        <v>-4107</v>
      </c>
      <c r="K49" s="336">
        <v>-1184</v>
      </c>
      <c r="L49" s="336">
        <v>-14664</v>
      </c>
      <c r="M49" s="336">
        <v>-185</v>
      </c>
      <c r="N49" s="336">
        <v>303</v>
      </c>
      <c r="O49" s="336">
        <v>-365</v>
      </c>
      <c r="P49" s="336">
        <v>-1166</v>
      </c>
      <c r="Q49" s="336">
        <v>-4399</v>
      </c>
      <c r="R49" s="336">
        <v>-1424</v>
      </c>
      <c r="S49" s="336">
        <v>-10612</v>
      </c>
      <c r="T49" s="336">
        <v>-1859</v>
      </c>
      <c r="U49" s="51" t="s">
        <v>124</v>
      </c>
      <c r="V49" s="510"/>
    </row>
    <row r="50" spans="1:22" s="6" customFormat="1" ht="15.95" customHeight="1">
      <c r="A50" s="487"/>
      <c r="B50" s="51" t="s">
        <v>125</v>
      </c>
      <c r="C50" s="198">
        <v>0</v>
      </c>
      <c r="D50" s="336">
        <v>3191</v>
      </c>
      <c r="E50" s="336">
        <v>915</v>
      </c>
      <c r="F50" s="336">
        <v>784</v>
      </c>
      <c r="G50" s="336">
        <v>1307</v>
      </c>
      <c r="H50" s="336">
        <v>356</v>
      </c>
      <c r="I50" s="336">
        <v>991</v>
      </c>
      <c r="J50" s="336">
        <v>-664</v>
      </c>
      <c r="K50" s="336">
        <v>151</v>
      </c>
      <c r="L50" s="336">
        <v>-840</v>
      </c>
      <c r="M50" s="336">
        <v>-331</v>
      </c>
      <c r="N50" s="336">
        <v>-728</v>
      </c>
      <c r="O50" s="336">
        <v>-814</v>
      </c>
      <c r="P50" s="336">
        <v>-364</v>
      </c>
      <c r="Q50" s="336">
        <v>-1126</v>
      </c>
      <c r="R50" s="336">
        <v>-1064</v>
      </c>
      <c r="S50" s="336">
        <v>-1354</v>
      </c>
      <c r="T50" s="336">
        <v>-410</v>
      </c>
      <c r="U50" s="51" t="s">
        <v>125</v>
      </c>
      <c r="V50" s="510"/>
    </row>
    <row r="51" spans="1:22" s="6" customFormat="1" ht="15.95" customHeight="1">
      <c r="A51" s="487"/>
      <c r="B51" s="51" t="s">
        <v>126</v>
      </c>
      <c r="C51" s="198">
        <v>0</v>
      </c>
      <c r="D51" s="336">
        <v>-8336</v>
      </c>
      <c r="E51" s="336">
        <v>-1223</v>
      </c>
      <c r="F51" s="336">
        <v>-1381</v>
      </c>
      <c r="G51" s="336">
        <v>-545</v>
      </c>
      <c r="H51" s="336">
        <v>-1536</v>
      </c>
      <c r="I51" s="336">
        <v>-894</v>
      </c>
      <c r="J51" s="336">
        <v>-375</v>
      </c>
      <c r="K51" s="336">
        <v>-86</v>
      </c>
      <c r="L51" s="336">
        <v>-1221</v>
      </c>
      <c r="M51" s="336">
        <v>2498</v>
      </c>
      <c r="N51" s="336">
        <v>1264</v>
      </c>
      <c r="O51" s="336">
        <v>1654</v>
      </c>
      <c r="P51" s="336">
        <v>1248</v>
      </c>
      <c r="Q51" s="336">
        <v>2901</v>
      </c>
      <c r="R51" s="336">
        <v>2451</v>
      </c>
      <c r="S51" s="336">
        <v>2012</v>
      </c>
      <c r="T51" s="336">
        <v>1569</v>
      </c>
      <c r="U51" s="51" t="s">
        <v>126</v>
      </c>
      <c r="V51" s="510"/>
    </row>
    <row r="52" spans="1:22" s="6" customFormat="1" ht="15.95" customHeight="1">
      <c r="A52" s="487"/>
      <c r="B52" s="52" t="s">
        <v>127</v>
      </c>
      <c r="C52" s="198">
        <v>0</v>
      </c>
      <c r="D52" s="336">
        <v>-4086</v>
      </c>
      <c r="E52" s="336">
        <v>-812</v>
      </c>
      <c r="F52" s="336">
        <v>273</v>
      </c>
      <c r="G52" s="336">
        <v>812</v>
      </c>
      <c r="H52" s="336">
        <v>40</v>
      </c>
      <c r="I52" s="336">
        <v>217</v>
      </c>
      <c r="J52" s="336">
        <v>-51</v>
      </c>
      <c r="K52" s="336">
        <v>-63</v>
      </c>
      <c r="L52" s="336">
        <v>2318</v>
      </c>
      <c r="M52" s="336">
        <v>-1658</v>
      </c>
      <c r="N52" s="336">
        <v>559</v>
      </c>
      <c r="O52" s="336">
        <v>-43</v>
      </c>
      <c r="P52" s="336">
        <v>306</v>
      </c>
      <c r="Q52" s="336">
        <v>409</v>
      </c>
      <c r="R52" s="336">
        <v>780</v>
      </c>
      <c r="S52" s="336">
        <v>696</v>
      </c>
      <c r="T52" s="336">
        <v>303</v>
      </c>
      <c r="U52" s="52" t="s">
        <v>127</v>
      </c>
      <c r="V52" s="510"/>
    </row>
    <row r="53" spans="1:22" ht="7.5" customHeight="1" thickBot="1">
      <c r="A53" s="556"/>
      <c r="B53" s="10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101"/>
      <c r="V53" s="511"/>
    </row>
  </sheetData>
  <mergeCells count="12">
    <mergeCell ref="U3:V3"/>
    <mergeCell ref="A3:B3"/>
    <mergeCell ref="A4:A13"/>
    <mergeCell ref="A44:A53"/>
    <mergeCell ref="V4:V13"/>
    <mergeCell ref="V44:V53"/>
    <mergeCell ref="A14:A23"/>
    <mergeCell ref="A24:A33"/>
    <mergeCell ref="A34:A43"/>
    <mergeCell ref="V34:V43"/>
    <mergeCell ref="V24:V33"/>
    <mergeCell ref="V14:V23"/>
  </mergeCells>
  <phoneticPr fontId="2" type="noConversion"/>
  <conditionalFormatting sqref="D45:T52">
    <cfRule type="cellIs" dxfId="1" priority="1" operator="between">
      <formula>-1</formula>
      <formula>-999</formula>
    </cfRule>
  </conditionalFormatting>
  <printOptions horizontalCentered="1"/>
  <pageMargins left="0.78740157480314965" right="0.78740157480314965" top="0.78740157480314965" bottom="0.47244094488188981" header="0.51181102362204722" footer="1.0629921259842521"/>
  <pageSetup paperSize="9" scale="95" firstPageNumber="24" orientation="portrait" horizontalDpi="1200" verticalDpi="1200" r:id="rId1"/>
  <headerFooter alignWithMargins="0"/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I55"/>
  <sheetViews>
    <sheetView showGridLines="0" view="pageBreakPreview" zoomScaleNormal="100" zoomScaleSheetLayoutView="100" workbookViewId="0">
      <selection sqref="A1:I1"/>
    </sheetView>
  </sheetViews>
  <sheetFormatPr defaultRowHeight="18.75" customHeight="1"/>
  <cols>
    <col min="1" max="1" width="9.25" style="58" customWidth="1"/>
    <col min="2" max="3" width="10.625" style="44" customWidth="1"/>
    <col min="4" max="9" width="10.125" style="44" customWidth="1"/>
    <col min="10" max="16384" width="9" style="44"/>
  </cols>
  <sheetData>
    <row r="1" spans="1:9" s="63" customFormat="1" ht="18.75" customHeight="1">
      <c r="A1" s="568" t="str">
        <f>"※ 참고표 : 전입신고건 수 추이, "&amp;RIGHT(A3,9)</f>
        <v>※ 참고표 : 전입신고건 수 추이, 2005-2025</v>
      </c>
      <c r="B1" s="568"/>
      <c r="C1" s="568"/>
      <c r="D1" s="568"/>
      <c r="E1" s="568"/>
      <c r="F1" s="568"/>
      <c r="G1" s="568"/>
      <c r="H1" s="568"/>
      <c r="I1" s="568"/>
    </row>
    <row r="2" spans="1:9" s="42" customFormat="1" ht="9.9499999999999993" customHeight="1">
      <c r="A2" s="41"/>
      <c r="I2" s="43"/>
    </row>
    <row r="3" spans="1:9" s="55" customFormat="1" ht="13.5" customHeight="1">
      <c r="A3" s="54" t="str">
        <f>"■ 이동규모별 전입신고건수 추이, "&amp;A8&amp;"-"&amp;A28</f>
        <v>■ 이동규모별 전입신고건수 추이, 2005-2025</v>
      </c>
    </row>
    <row r="4" spans="1:9" s="55" customFormat="1" ht="14.1" customHeight="1" thickBot="1">
      <c r="A4" s="58"/>
      <c r="I4" s="43" t="s">
        <v>155</v>
      </c>
    </row>
    <row r="5" spans="1:9" s="58" customFormat="1" ht="11.25" customHeight="1">
      <c r="A5" s="571" t="s">
        <v>62</v>
      </c>
      <c r="B5" s="481" t="s">
        <v>48</v>
      </c>
      <c r="C5" s="114"/>
      <c r="D5" s="59"/>
      <c r="E5" s="59"/>
      <c r="F5" s="59"/>
      <c r="G5" s="59"/>
      <c r="H5" s="59"/>
      <c r="I5" s="569" t="s">
        <v>55</v>
      </c>
    </row>
    <row r="6" spans="1:9" s="58" customFormat="1" ht="20.100000000000001" customHeight="1">
      <c r="A6" s="572"/>
      <c r="B6" s="525"/>
      <c r="C6" s="9" t="s">
        <v>49</v>
      </c>
      <c r="D6" s="9" t="s">
        <v>50</v>
      </c>
      <c r="E6" s="9" t="s">
        <v>51</v>
      </c>
      <c r="F6" s="9" t="s">
        <v>52</v>
      </c>
      <c r="G6" s="9" t="s">
        <v>53</v>
      </c>
      <c r="H6" s="49" t="s">
        <v>54</v>
      </c>
      <c r="I6" s="570"/>
    </row>
    <row r="7" spans="1:9" s="58" customFormat="1" ht="6.95" customHeight="1">
      <c r="A7" s="47"/>
      <c r="B7" s="18"/>
      <c r="C7" s="47"/>
      <c r="D7" s="47"/>
      <c r="E7" s="47"/>
      <c r="F7" s="47"/>
      <c r="G7" s="47"/>
      <c r="H7" s="47"/>
      <c r="I7" s="222"/>
    </row>
    <row r="8" spans="1:9" ht="13.7" customHeight="1">
      <c r="A8" s="47">
        <v>2005</v>
      </c>
      <c r="B8" s="115">
        <v>5102181</v>
      </c>
      <c r="C8" s="116">
        <v>3318816</v>
      </c>
      <c r="D8" s="116">
        <v>639292</v>
      </c>
      <c r="E8" s="116">
        <v>535767</v>
      </c>
      <c r="F8" s="116">
        <v>480386</v>
      </c>
      <c r="G8" s="116">
        <v>105245</v>
      </c>
      <c r="H8" s="116">
        <v>22675</v>
      </c>
      <c r="I8" s="60">
        <v>1.7236820879999999</v>
      </c>
    </row>
    <row r="9" spans="1:9" ht="13.7" customHeight="1">
      <c r="A9" s="47">
        <v>2006</v>
      </c>
      <c r="B9" s="115">
        <v>5465204</v>
      </c>
      <c r="C9" s="116">
        <v>3580323</v>
      </c>
      <c r="D9" s="116">
        <v>689337</v>
      </c>
      <c r="E9" s="116">
        <v>560683</v>
      </c>
      <c r="F9" s="116">
        <v>502366</v>
      </c>
      <c r="G9" s="116">
        <v>109764</v>
      </c>
      <c r="H9" s="116">
        <v>22731</v>
      </c>
      <c r="I9" s="60">
        <v>1.7093111249999999</v>
      </c>
    </row>
    <row r="10" spans="1:9" ht="13.7" customHeight="1">
      <c r="A10" s="47">
        <v>2007</v>
      </c>
      <c r="B10" s="115">
        <v>5446220</v>
      </c>
      <c r="C10" s="116">
        <v>3654447</v>
      </c>
      <c r="D10" s="116">
        <v>686090</v>
      </c>
      <c r="E10" s="116">
        <v>528927</v>
      </c>
      <c r="F10" s="116">
        <v>454299</v>
      </c>
      <c r="G10" s="116">
        <v>101322</v>
      </c>
      <c r="H10" s="116">
        <v>21135</v>
      </c>
      <c r="I10" s="60">
        <v>1.6653135569999999</v>
      </c>
    </row>
    <row r="11" spans="1:9" ht="13.7" customHeight="1">
      <c r="A11" s="47">
        <v>2008</v>
      </c>
      <c r="B11" s="115">
        <v>5250399</v>
      </c>
      <c r="C11" s="116">
        <v>3486145</v>
      </c>
      <c r="D11" s="116">
        <v>680878</v>
      </c>
      <c r="E11" s="116">
        <v>519707</v>
      </c>
      <c r="F11" s="116">
        <v>443746</v>
      </c>
      <c r="G11" s="116">
        <v>99133</v>
      </c>
      <c r="H11" s="116">
        <v>20790</v>
      </c>
      <c r="I11" s="60">
        <v>1.6775593630000001</v>
      </c>
    </row>
    <row r="12" spans="1:9" ht="13.7" customHeight="1">
      <c r="A12" s="47">
        <v>2009</v>
      </c>
      <c r="B12" s="115">
        <v>5099106</v>
      </c>
      <c r="C12" s="116">
        <v>3414012</v>
      </c>
      <c r="D12" s="116">
        <v>654157</v>
      </c>
      <c r="E12" s="116">
        <v>497462</v>
      </c>
      <c r="F12" s="116">
        <v>419663</v>
      </c>
      <c r="G12" s="116">
        <v>94295</v>
      </c>
      <c r="H12" s="116">
        <v>19517</v>
      </c>
      <c r="I12" s="60">
        <v>1.6643843060000001</v>
      </c>
    </row>
    <row r="13" spans="1:9" ht="13.7" customHeight="1">
      <c r="A13" s="47">
        <v>2010</v>
      </c>
      <c r="B13" s="115">
        <v>4943706</v>
      </c>
      <c r="C13" s="116">
        <v>3309794</v>
      </c>
      <c r="D13" s="116">
        <v>634586</v>
      </c>
      <c r="E13" s="116">
        <v>484452</v>
      </c>
      <c r="F13" s="116">
        <v>404435</v>
      </c>
      <c r="G13" s="116">
        <v>91513</v>
      </c>
      <c r="H13" s="116">
        <v>18926</v>
      </c>
      <c r="I13" s="60">
        <v>1.6639945819999999</v>
      </c>
    </row>
    <row r="14" spans="1:9" ht="13.7" customHeight="1">
      <c r="A14" s="47">
        <v>2011</v>
      </c>
      <c r="B14" s="115">
        <v>4842833</v>
      </c>
      <c r="C14" s="116">
        <v>3215649</v>
      </c>
      <c r="D14" s="116">
        <v>627593</v>
      </c>
      <c r="E14" s="116">
        <v>481416</v>
      </c>
      <c r="F14" s="116">
        <v>404467</v>
      </c>
      <c r="G14" s="116">
        <v>93701</v>
      </c>
      <c r="H14" s="116">
        <v>20007</v>
      </c>
      <c r="I14" s="60">
        <v>1.6781466549999999</v>
      </c>
    </row>
    <row r="15" spans="1:9" ht="13.7" customHeight="1">
      <c r="A15" s="47">
        <v>2012</v>
      </c>
      <c r="B15" s="115">
        <v>4576924</v>
      </c>
      <c r="C15" s="116">
        <v>3108404</v>
      </c>
      <c r="D15" s="116">
        <v>581332</v>
      </c>
      <c r="E15" s="116">
        <v>434545</v>
      </c>
      <c r="F15" s="116">
        <v>353773</v>
      </c>
      <c r="G15" s="116">
        <v>81421</v>
      </c>
      <c r="H15" s="116">
        <v>17449</v>
      </c>
      <c r="I15" s="60">
        <v>1.640029417</v>
      </c>
    </row>
    <row r="16" spans="1:9" ht="13.7" customHeight="1">
      <c r="A16" s="47">
        <v>2013</v>
      </c>
      <c r="B16" s="115">
        <v>4504568</v>
      </c>
      <c r="C16" s="116">
        <v>3047034</v>
      </c>
      <c r="D16" s="116">
        <v>574728</v>
      </c>
      <c r="E16" s="116">
        <v>434759</v>
      </c>
      <c r="F16" s="116">
        <v>350763</v>
      </c>
      <c r="G16" s="116">
        <v>80450</v>
      </c>
      <c r="H16" s="116">
        <v>16834</v>
      </c>
      <c r="I16" s="60">
        <v>1.645356891</v>
      </c>
    </row>
    <row r="17" spans="1:9" ht="13.7" customHeight="1">
      <c r="A17" s="47">
        <v>2014</v>
      </c>
      <c r="B17" s="115">
        <v>4656926</v>
      </c>
      <c r="C17" s="116">
        <v>3166224</v>
      </c>
      <c r="D17" s="116">
        <v>589174</v>
      </c>
      <c r="E17" s="116">
        <v>444751</v>
      </c>
      <c r="F17" s="116">
        <v>356798</v>
      </c>
      <c r="G17" s="116">
        <v>82144</v>
      </c>
      <c r="H17" s="116">
        <v>17835</v>
      </c>
      <c r="I17" s="60">
        <v>1.6382021099999999</v>
      </c>
    </row>
    <row r="18" spans="1:9" ht="13.7" customHeight="1">
      <c r="A18" s="47">
        <v>2015</v>
      </c>
      <c r="B18" s="115">
        <v>4760658</v>
      </c>
      <c r="C18" s="116">
        <v>3250916</v>
      </c>
      <c r="D18" s="116">
        <v>601946</v>
      </c>
      <c r="E18" s="116">
        <v>450984</v>
      </c>
      <c r="F18" s="116">
        <v>358975</v>
      </c>
      <c r="G18" s="116">
        <v>80498</v>
      </c>
      <c r="H18" s="116">
        <v>17339</v>
      </c>
      <c r="I18" s="60">
        <v>1.6290174589999999</v>
      </c>
    </row>
    <row r="19" spans="1:9" ht="13.7" customHeight="1">
      <c r="A19" s="47">
        <v>2016</v>
      </c>
      <c r="B19" s="115">
        <v>4636367</v>
      </c>
      <c r="C19" s="116">
        <v>3232049</v>
      </c>
      <c r="D19" s="116">
        <v>577741</v>
      </c>
      <c r="E19" s="116">
        <v>420889</v>
      </c>
      <c r="F19" s="116">
        <v>319836</v>
      </c>
      <c r="G19" s="116">
        <v>70674</v>
      </c>
      <c r="H19" s="116">
        <v>15178</v>
      </c>
      <c r="I19" s="60">
        <v>1.5914147869999999</v>
      </c>
    </row>
    <row r="20" spans="1:9" ht="13.7" customHeight="1">
      <c r="A20" s="47">
        <v>2017</v>
      </c>
      <c r="B20" s="115">
        <v>4569922</v>
      </c>
      <c r="C20" s="116">
        <v>3237035</v>
      </c>
      <c r="D20" s="116">
        <v>557290</v>
      </c>
      <c r="E20" s="116">
        <v>397237</v>
      </c>
      <c r="F20" s="116">
        <v>299396</v>
      </c>
      <c r="G20" s="116">
        <v>64889</v>
      </c>
      <c r="H20" s="116">
        <v>14075</v>
      </c>
      <c r="I20" s="60">
        <v>1.5654728899999999</v>
      </c>
    </row>
    <row r="21" spans="1:9" ht="13.7" customHeight="1">
      <c r="A21" s="47">
        <v>2018</v>
      </c>
      <c r="B21" s="115">
        <v>4728313</v>
      </c>
      <c r="C21" s="116">
        <v>3388742</v>
      </c>
      <c r="D21" s="116">
        <v>573224</v>
      </c>
      <c r="E21" s="116">
        <v>396829</v>
      </c>
      <c r="F21" s="116">
        <v>293199</v>
      </c>
      <c r="G21" s="116">
        <v>63318</v>
      </c>
      <c r="H21" s="116">
        <v>13001</v>
      </c>
      <c r="I21" s="60">
        <v>1.543252107</v>
      </c>
    </row>
    <row r="22" spans="1:9" ht="13.7" customHeight="1">
      <c r="A22" s="47">
        <v>2019</v>
      </c>
      <c r="B22" s="115">
        <v>4733922</v>
      </c>
      <c r="C22" s="116">
        <v>3480151</v>
      </c>
      <c r="D22" s="116">
        <v>551908</v>
      </c>
      <c r="E22" s="116">
        <v>368640</v>
      </c>
      <c r="F22" s="116">
        <v>266033</v>
      </c>
      <c r="G22" s="116">
        <v>55987</v>
      </c>
      <c r="H22" s="116">
        <v>11203</v>
      </c>
      <c r="I22" s="60">
        <v>1.5007395560000001</v>
      </c>
    </row>
    <row r="23" spans="1:9" s="8" customFormat="1" ht="13.7" customHeight="1">
      <c r="A23" s="47">
        <v>2020</v>
      </c>
      <c r="B23" s="115">
        <v>5183403</v>
      </c>
      <c r="C23" s="116">
        <v>3828752</v>
      </c>
      <c r="D23" s="116">
        <v>600297</v>
      </c>
      <c r="E23" s="116">
        <v>395936</v>
      </c>
      <c r="F23" s="116">
        <v>288284</v>
      </c>
      <c r="G23" s="116">
        <v>58877</v>
      </c>
      <c r="H23" s="116">
        <v>11257</v>
      </c>
      <c r="I23" s="427">
        <v>1.4923516459999999</v>
      </c>
    </row>
    <row r="24" spans="1:9" s="8" customFormat="1" ht="13.7" customHeight="1">
      <c r="A24" s="47">
        <v>2021</v>
      </c>
      <c r="B24" s="115">
        <v>5004115</v>
      </c>
      <c r="C24" s="116">
        <v>3799586</v>
      </c>
      <c r="D24" s="116">
        <v>565374</v>
      </c>
      <c r="E24" s="116">
        <v>343028</v>
      </c>
      <c r="F24" s="116">
        <v>238465</v>
      </c>
      <c r="G24" s="116">
        <v>48634</v>
      </c>
      <c r="H24" s="116">
        <v>9028</v>
      </c>
      <c r="I24" s="427">
        <v>1.441466073</v>
      </c>
    </row>
    <row r="25" spans="1:9" s="8" customFormat="1" ht="13.7" customHeight="1">
      <c r="A25" s="47">
        <v>2022</v>
      </c>
      <c r="B25" s="115">
        <v>4412470</v>
      </c>
      <c r="C25" s="116">
        <v>3443581</v>
      </c>
      <c r="D25" s="116">
        <v>472813</v>
      </c>
      <c r="E25" s="116">
        <v>273609</v>
      </c>
      <c r="F25" s="116">
        <v>179129</v>
      </c>
      <c r="G25" s="116">
        <v>36536</v>
      </c>
      <c r="H25" s="116">
        <v>6802</v>
      </c>
      <c r="I25" s="427">
        <v>1.3942261359999999</v>
      </c>
    </row>
    <row r="26" spans="1:9" s="8" customFormat="1" ht="13.7" customHeight="1">
      <c r="A26" s="47">
        <v>2023</v>
      </c>
      <c r="B26" s="115">
        <v>4364486</v>
      </c>
      <c r="C26" s="116">
        <v>3383196</v>
      </c>
      <c r="D26" s="116">
        <v>472167</v>
      </c>
      <c r="E26" s="116">
        <v>285112</v>
      </c>
      <c r="F26" s="116">
        <v>182257</v>
      </c>
      <c r="G26" s="116">
        <v>35545</v>
      </c>
      <c r="H26" s="116">
        <v>6209</v>
      </c>
      <c r="I26" s="427">
        <v>1.4042026940000001</v>
      </c>
    </row>
    <row r="27" spans="1:9" s="8" customFormat="1" ht="13.7" customHeight="1">
      <c r="A27" s="47">
        <v>2024</v>
      </c>
      <c r="B27" s="115">
        <v>4487846</v>
      </c>
      <c r="C27" s="116">
        <v>3482554</v>
      </c>
      <c r="D27" s="116">
        <v>488479</v>
      </c>
      <c r="E27" s="116">
        <v>293183</v>
      </c>
      <c r="F27" s="116">
        <v>182065</v>
      </c>
      <c r="G27" s="116">
        <v>35264</v>
      </c>
      <c r="H27" s="116">
        <v>6301</v>
      </c>
      <c r="I27" s="427">
        <v>1.400047595</v>
      </c>
    </row>
    <row r="28" spans="1:9" s="8" customFormat="1" ht="13.7" customHeight="1">
      <c r="A28" s="47">
        <v>2025</v>
      </c>
      <c r="B28" s="115">
        <v>4471799</v>
      </c>
      <c r="C28" s="116">
        <v>3536637</v>
      </c>
      <c r="D28" s="116">
        <v>465954</v>
      </c>
      <c r="E28" s="116">
        <v>270513</v>
      </c>
      <c r="F28" s="116">
        <v>163018</v>
      </c>
      <c r="G28" s="116">
        <v>30206</v>
      </c>
      <c r="H28" s="116">
        <v>5471</v>
      </c>
      <c r="I28" s="427">
        <v>1.3680384560000001</v>
      </c>
    </row>
    <row r="29" spans="1:9" s="8" customFormat="1" ht="6.95" customHeight="1" thickBot="1">
      <c r="A29" s="61"/>
      <c r="B29" s="64"/>
      <c r="C29" s="65"/>
      <c r="D29" s="65"/>
      <c r="E29" s="65"/>
      <c r="F29" s="65"/>
      <c r="G29" s="65"/>
      <c r="H29" s="65"/>
      <c r="I29" s="428"/>
    </row>
    <row r="30" spans="1:9" ht="20.100000000000001" customHeight="1">
      <c r="I30" s="424"/>
    </row>
    <row r="31" spans="1:9" s="54" customFormat="1" ht="13.5" customHeight="1">
      <c r="A31" s="54" t="str">
        <f>"■ 시도별 전입신고건수, "&amp;표지!G5</f>
        <v>■ 시도별 전입신고건수, 2025</v>
      </c>
      <c r="I31" s="426"/>
    </row>
    <row r="32" spans="1:9" s="42" customFormat="1" ht="14.1" customHeight="1" thickBot="1">
      <c r="A32" s="41"/>
      <c r="I32" s="423" t="s">
        <v>156</v>
      </c>
    </row>
    <row r="33" spans="1:9" ht="15.95" customHeight="1">
      <c r="A33" s="478" t="s">
        <v>79</v>
      </c>
      <c r="B33" s="476" t="s">
        <v>65</v>
      </c>
      <c r="C33" s="476"/>
      <c r="D33" s="431" t="s">
        <v>59</v>
      </c>
      <c r="E33" s="478"/>
      <c r="F33" s="433"/>
      <c r="G33" s="476" t="s">
        <v>58</v>
      </c>
      <c r="H33" s="476"/>
      <c r="I33" s="481" t="s">
        <v>0</v>
      </c>
    </row>
    <row r="34" spans="1:9" ht="15.95" customHeight="1">
      <c r="A34" s="439"/>
      <c r="B34" s="477"/>
      <c r="C34" s="477"/>
      <c r="D34" s="477" t="s">
        <v>1</v>
      </c>
      <c r="E34" s="432" t="s">
        <v>2</v>
      </c>
      <c r="F34" s="434"/>
      <c r="G34" s="477"/>
      <c r="H34" s="477"/>
      <c r="I34" s="482"/>
    </row>
    <row r="35" spans="1:9" ht="15.95" customHeight="1">
      <c r="A35" s="439"/>
      <c r="B35" s="9" t="s">
        <v>3</v>
      </c>
      <c r="C35" s="9" t="s">
        <v>4</v>
      </c>
      <c r="D35" s="477"/>
      <c r="E35" s="9" t="s">
        <v>3</v>
      </c>
      <c r="F35" s="13" t="s">
        <v>4</v>
      </c>
      <c r="G35" s="9" t="s">
        <v>3</v>
      </c>
      <c r="H35" s="9" t="s">
        <v>4</v>
      </c>
      <c r="I35" s="483"/>
    </row>
    <row r="36" spans="1:9" ht="6.95" customHeight="1">
      <c r="A36" s="47"/>
      <c r="B36" s="18"/>
      <c r="C36" s="47"/>
      <c r="D36" s="47"/>
      <c r="E36" s="47"/>
      <c r="F36" s="47"/>
      <c r="G36" s="47"/>
      <c r="H36" s="47"/>
      <c r="I36" s="425"/>
    </row>
    <row r="37" spans="1:9" ht="13.7" customHeight="1">
      <c r="A37" s="47" t="s">
        <v>5</v>
      </c>
      <c r="B37" s="115">
        <v>4471799</v>
      </c>
      <c r="C37" s="116">
        <v>4471799</v>
      </c>
      <c r="D37" s="116">
        <v>1330816</v>
      </c>
      <c r="E37" s="116">
        <v>1331908</v>
      </c>
      <c r="F37" s="116">
        <v>1331908</v>
      </c>
      <c r="G37" s="116">
        <v>1809075</v>
      </c>
      <c r="H37" s="116">
        <v>1809075</v>
      </c>
      <c r="I37" s="405">
        <v>0</v>
      </c>
    </row>
    <row r="38" spans="1:9" ht="13.7" customHeight="1">
      <c r="A38" s="47" t="s">
        <v>6</v>
      </c>
      <c r="B38" s="115">
        <v>910830</v>
      </c>
      <c r="C38" s="116">
        <v>908262</v>
      </c>
      <c r="D38" s="116">
        <v>186338</v>
      </c>
      <c r="E38" s="116">
        <v>356939</v>
      </c>
      <c r="F38" s="116">
        <v>356939</v>
      </c>
      <c r="G38" s="116">
        <v>367553</v>
      </c>
      <c r="H38" s="116">
        <v>364985</v>
      </c>
      <c r="I38" s="405">
        <v>2568</v>
      </c>
    </row>
    <row r="39" spans="1:9" ht="13.7" customHeight="1">
      <c r="A39" s="47" t="s">
        <v>7</v>
      </c>
      <c r="B39" s="115">
        <v>268610</v>
      </c>
      <c r="C39" s="116">
        <v>279573</v>
      </c>
      <c r="D39" s="116">
        <v>63097</v>
      </c>
      <c r="E39" s="116">
        <v>114250</v>
      </c>
      <c r="F39" s="116">
        <v>114250</v>
      </c>
      <c r="G39" s="116">
        <v>91263</v>
      </c>
      <c r="H39" s="116">
        <v>102226</v>
      </c>
      <c r="I39" s="405">
        <v>-10963</v>
      </c>
    </row>
    <row r="40" spans="1:9" ht="13.7" customHeight="1">
      <c r="A40" s="47" t="s">
        <v>8</v>
      </c>
      <c r="B40" s="115">
        <v>192206</v>
      </c>
      <c r="C40" s="116">
        <v>199184</v>
      </c>
      <c r="D40" s="116">
        <v>48757</v>
      </c>
      <c r="E40" s="116">
        <v>71796</v>
      </c>
      <c r="F40" s="116">
        <v>71796</v>
      </c>
      <c r="G40" s="116">
        <v>71653</v>
      </c>
      <c r="H40" s="116">
        <v>78631</v>
      </c>
      <c r="I40" s="405">
        <v>-6978</v>
      </c>
    </row>
    <row r="41" spans="1:9" ht="13.7" customHeight="1">
      <c r="A41" s="47" t="s">
        <v>9</v>
      </c>
      <c r="B41" s="115">
        <v>275482</v>
      </c>
      <c r="C41" s="116">
        <v>257749</v>
      </c>
      <c r="D41" s="116">
        <v>74047</v>
      </c>
      <c r="E41" s="116">
        <v>76342</v>
      </c>
      <c r="F41" s="116">
        <v>76342</v>
      </c>
      <c r="G41" s="116">
        <v>125093</v>
      </c>
      <c r="H41" s="116">
        <v>107360</v>
      </c>
      <c r="I41" s="405">
        <v>17733</v>
      </c>
    </row>
    <row r="42" spans="1:9" ht="13.7" customHeight="1">
      <c r="A42" s="47" t="s">
        <v>10</v>
      </c>
      <c r="B42" s="115">
        <v>123023</v>
      </c>
      <c r="C42" s="116">
        <v>134943</v>
      </c>
      <c r="D42" s="116">
        <v>35135</v>
      </c>
      <c r="E42" s="116">
        <v>40976</v>
      </c>
      <c r="F42" s="116">
        <v>40976</v>
      </c>
      <c r="G42" s="116">
        <v>46912</v>
      </c>
      <c r="H42" s="116">
        <v>58832</v>
      </c>
      <c r="I42" s="405">
        <v>-11920</v>
      </c>
    </row>
    <row r="43" spans="1:9" ht="13.7" customHeight="1">
      <c r="A43" s="47" t="s">
        <v>11</v>
      </c>
      <c r="B43" s="115">
        <v>153865</v>
      </c>
      <c r="C43" s="116">
        <v>151337</v>
      </c>
      <c r="D43" s="116">
        <v>37623</v>
      </c>
      <c r="E43" s="116">
        <v>47273</v>
      </c>
      <c r="F43" s="116">
        <v>47273</v>
      </c>
      <c r="G43" s="116">
        <v>68969</v>
      </c>
      <c r="H43" s="116">
        <v>66441</v>
      </c>
      <c r="I43" s="405">
        <v>2528</v>
      </c>
    </row>
    <row r="44" spans="1:9" ht="13.7" customHeight="1">
      <c r="A44" s="47" t="s">
        <v>12</v>
      </c>
      <c r="B44" s="115">
        <v>85504</v>
      </c>
      <c r="C44" s="116">
        <v>88756</v>
      </c>
      <c r="D44" s="116">
        <v>22739</v>
      </c>
      <c r="E44" s="116">
        <v>26299</v>
      </c>
      <c r="F44" s="116">
        <v>26299</v>
      </c>
      <c r="G44" s="116">
        <v>36466</v>
      </c>
      <c r="H44" s="116">
        <v>39718</v>
      </c>
      <c r="I44" s="405">
        <v>-3252</v>
      </c>
    </row>
    <row r="45" spans="1:9" ht="13.7" customHeight="1">
      <c r="A45" s="47" t="s">
        <v>167</v>
      </c>
      <c r="B45" s="115">
        <v>37362</v>
      </c>
      <c r="C45" s="116">
        <v>37430</v>
      </c>
      <c r="D45" s="116">
        <v>11842</v>
      </c>
      <c r="E45" s="116">
        <v>0</v>
      </c>
      <c r="F45" s="116">
        <v>0</v>
      </c>
      <c r="G45" s="116">
        <v>25520</v>
      </c>
      <c r="H45" s="116">
        <v>25588</v>
      </c>
      <c r="I45" s="405">
        <v>-68</v>
      </c>
    </row>
    <row r="46" spans="1:9" ht="13.7" customHeight="1">
      <c r="A46" s="47" t="s">
        <v>13</v>
      </c>
      <c r="B46" s="115">
        <v>1141918</v>
      </c>
      <c r="C46" s="116">
        <v>1122593</v>
      </c>
      <c r="D46" s="116">
        <v>366197</v>
      </c>
      <c r="E46" s="116">
        <v>349715</v>
      </c>
      <c r="F46" s="116">
        <v>349715</v>
      </c>
      <c r="G46" s="116">
        <v>426006</v>
      </c>
      <c r="H46" s="116">
        <v>406681</v>
      </c>
      <c r="I46" s="405">
        <v>19325</v>
      </c>
    </row>
    <row r="47" spans="1:9" ht="13.7" customHeight="1">
      <c r="A47" s="47" t="s">
        <v>14</v>
      </c>
      <c r="B47" s="115">
        <v>136584</v>
      </c>
      <c r="C47" s="116">
        <v>137919</v>
      </c>
      <c r="D47" s="116">
        <v>53981</v>
      </c>
      <c r="E47" s="116">
        <v>24559</v>
      </c>
      <c r="F47" s="116">
        <v>24559</v>
      </c>
      <c r="G47" s="116">
        <v>58044</v>
      </c>
      <c r="H47" s="116">
        <v>59379</v>
      </c>
      <c r="I47" s="405">
        <v>-1335</v>
      </c>
    </row>
    <row r="48" spans="1:9" ht="13.7" customHeight="1">
      <c r="A48" s="47" t="s">
        <v>15</v>
      </c>
      <c r="B48" s="115">
        <v>151298</v>
      </c>
      <c r="C48" s="116">
        <v>142872</v>
      </c>
      <c r="D48" s="116">
        <v>60621</v>
      </c>
      <c r="E48" s="116">
        <v>20379</v>
      </c>
      <c r="F48" s="116">
        <v>20379</v>
      </c>
      <c r="G48" s="116">
        <v>70298</v>
      </c>
      <c r="H48" s="116">
        <v>61872</v>
      </c>
      <c r="I48" s="405">
        <v>8426</v>
      </c>
    </row>
    <row r="49" spans="1:9" ht="13.7" customHeight="1">
      <c r="A49" s="47" t="s">
        <v>16</v>
      </c>
      <c r="B49" s="115">
        <v>192011</v>
      </c>
      <c r="C49" s="116">
        <v>186018</v>
      </c>
      <c r="D49" s="116">
        <v>61864</v>
      </c>
      <c r="E49" s="116">
        <v>33137</v>
      </c>
      <c r="F49" s="116">
        <v>33137</v>
      </c>
      <c r="G49" s="116">
        <v>97010</v>
      </c>
      <c r="H49" s="116">
        <v>91017</v>
      </c>
      <c r="I49" s="405">
        <v>5993</v>
      </c>
    </row>
    <row r="50" spans="1:9" ht="13.7" customHeight="1">
      <c r="A50" s="47" t="s">
        <v>17</v>
      </c>
      <c r="B50" s="115">
        <v>148988</v>
      </c>
      <c r="C50" s="116">
        <v>152751</v>
      </c>
      <c r="D50" s="116">
        <v>62872</v>
      </c>
      <c r="E50" s="116">
        <v>37091</v>
      </c>
      <c r="F50" s="116">
        <v>37091</v>
      </c>
      <c r="G50" s="116">
        <v>49025</v>
      </c>
      <c r="H50" s="116">
        <v>52788</v>
      </c>
      <c r="I50" s="405">
        <v>-3763</v>
      </c>
    </row>
    <row r="51" spans="1:9" ht="13.7" customHeight="1">
      <c r="A51" s="47" t="s">
        <v>18</v>
      </c>
      <c r="B51" s="115">
        <v>144309</v>
      </c>
      <c r="C51" s="116">
        <v>143830</v>
      </c>
      <c r="D51" s="116">
        <v>46071</v>
      </c>
      <c r="E51" s="116">
        <v>34572</v>
      </c>
      <c r="F51" s="116">
        <v>34572</v>
      </c>
      <c r="G51" s="116">
        <v>63666</v>
      </c>
      <c r="H51" s="116">
        <v>63187</v>
      </c>
      <c r="I51" s="405">
        <v>479</v>
      </c>
    </row>
    <row r="52" spans="1:9" ht="13.7" customHeight="1">
      <c r="A52" s="47" t="s">
        <v>19</v>
      </c>
      <c r="B52" s="115">
        <v>205717</v>
      </c>
      <c r="C52" s="116">
        <v>212879</v>
      </c>
      <c r="D52" s="116">
        <v>72143</v>
      </c>
      <c r="E52" s="116">
        <v>39648</v>
      </c>
      <c r="F52" s="116">
        <v>39648</v>
      </c>
      <c r="G52" s="116">
        <v>93926</v>
      </c>
      <c r="H52" s="116">
        <v>101088</v>
      </c>
      <c r="I52" s="405">
        <v>-7162</v>
      </c>
    </row>
    <row r="53" spans="1:9" ht="13.7" customHeight="1">
      <c r="A53" s="47" t="s">
        <v>20</v>
      </c>
      <c r="B53" s="115">
        <v>246033</v>
      </c>
      <c r="C53" s="116">
        <v>254104</v>
      </c>
      <c r="D53" s="116">
        <v>99105</v>
      </c>
      <c r="E53" s="116">
        <v>52643</v>
      </c>
      <c r="F53" s="116">
        <v>52643</v>
      </c>
      <c r="G53" s="116">
        <v>94285</v>
      </c>
      <c r="H53" s="116">
        <v>102356</v>
      </c>
      <c r="I53" s="405">
        <v>-8071</v>
      </c>
    </row>
    <row r="54" spans="1:9" ht="13.7" customHeight="1">
      <c r="A54" s="47" t="s">
        <v>21</v>
      </c>
      <c r="B54" s="115">
        <v>58059</v>
      </c>
      <c r="C54" s="116">
        <v>61599</v>
      </c>
      <c r="D54" s="116">
        <v>28384</v>
      </c>
      <c r="E54" s="116">
        <v>6289</v>
      </c>
      <c r="F54" s="116">
        <v>6289</v>
      </c>
      <c r="G54" s="116">
        <v>23386</v>
      </c>
      <c r="H54" s="116">
        <v>26926</v>
      </c>
      <c r="I54" s="405">
        <v>-3540</v>
      </c>
    </row>
    <row r="55" spans="1:9" s="8" customFormat="1" ht="6.95" customHeight="1" thickBot="1">
      <c r="A55" s="61"/>
      <c r="B55" s="64"/>
      <c r="C55" s="65"/>
      <c r="D55" s="65"/>
      <c r="E55" s="65"/>
      <c r="F55" s="65"/>
      <c r="G55" s="65"/>
      <c r="H55" s="65"/>
      <c r="I55" s="117"/>
    </row>
  </sheetData>
  <mergeCells count="11">
    <mergeCell ref="D34:D35"/>
    <mergeCell ref="E34:F34"/>
    <mergeCell ref="A1:I1"/>
    <mergeCell ref="B5:B6"/>
    <mergeCell ref="I5:I6"/>
    <mergeCell ref="A5:A6"/>
    <mergeCell ref="I33:I35"/>
    <mergeCell ref="A33:A35"/>
    <mergeCell ref="B33:C34"/>
    <mergeCell ref="D33:F33"/>
    <mergeCell ref="G33:H34"/>
  </mergeCells>
  <phoneticPr fontId="2" type="noConversion"/>
  <conditionalFormatting sqref="I37:I54">
    <cfRule type="cellIs" dxfId="0" priority="1" stopIfTrue="1" operator="between">
      <formula>-1</formula>
      <formula>-999</formula>
    </cfRule>
  </conditionalFormatting>
  <printOptions horizontalCentered="1"/>
  <pageMargins left="0.78740157480314965" right="0.78740157480314965" top="0.78740157480314965" bottom="0.47244094488188981" header="0.51181102362204722" footer="1.0629921259842521"/>
  <pageSetup paperSize="9" scale="95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W66"/>
  <sheetViews>
    <sheetView workbookViewId="0">
      <pane ySplit="6" topLeftCell="A22" activePane="bottomLeft" state="frozen"/>
      <selection pane="bottomLeft" activeCell="G40" sqref="G40"/>
    </sheetView>
  </sheetViews>
  <sheetFormatPr defaultRowHeight="15" customHeight="1"/>
  <cols>
    <col min="1" max="1" width="9" style="119"/>
    <col min="2" max="2" width="0.625" style="119" customWidth="1"/>
    <col min="3" max="3" width="9" style="122"/>
    <col min="4" max="4" width="9.5" style="121" bestFit="1" customWidth="1"/>
    <col min="5" max="5" width="9" style="121"/>
    <col min="6" max="7" width="9" style="122"/>
    <col min="8" max="11" width="8.5" style="121" customWidth="1"/>
    <col min="12" max="16384" width="9" style="119"/>
  </cols>
  <sheetData>
    <row r="1" spans="1:12" customFormat="1" ht="18.75">
      <c r="A1" s="469" t="s">
        <v>109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</row>
    <row r="2" spans="1:12" customFormat="1" ht="15" customHeight="1" thickBot="1">
      <c r="A2" s="5"/>
      <c r="B2" s="5"/>
      <c r="C2" s="16"/>
      <c r="D2" s="4"/>
      <c r="E2" s="27"/>
      <c r="F2" s="27"/>
      <c r="G2" s="27"/>
      <c r="H2" s="27"/>
      <c r="I2" s="27"/>
      <c r="J2" s="27"/>
      <c r="K2" s="28" t="s">
        <v>105</v>
      </c>
    </row>
    <row r="3" spans="1:12" ht="15" customHeight="1">
      <c r="A3" s="531" t="s">
        <v>108</v>
      </c>
      <c r="B3" s="144"/>
      <c r="C3" s="534" t="s">
        <v>82</v>
      </c>
      <c r="D3" s="535"/>
      <c r="E3" s="535"/>
      <c r="F3" s="535"/>
      <c r="G3" s="536"/>
      <c r="H3" s="537" t="s">
        <v>83</v>
      </c>
      <c r="I3" s="538"/>
      <c r="J3" s="538"/>
      <c r="K3" s="538"/>
    </row>
    <row r="4" spans="1:12" ht="8.25" customHeight="1">
      <c r="A4" s="532"/>
      <c r="B4" s="145"/>
      <c r="C4" s="539" t="s">
        <v>74</v>
      </c>
      <c r="D4" s="140"/>
      <c r="E4" s="141"/>
      <c r="F4" s="542" t="s">
        <v>85</v>
      </c>
      <c r="G4" s="542" t="s">
        <v>86</v>
      </c>
      <c r="H4" s="545" t="s">
        <v>84</v>
      </c>
      <c r="I4" s="141"/>
      <c r="J4" s="548" t="s">
        <v>85</v>
      </c>
      <c r="K4" s="545" t="s">
        <v>86</v>
      </c>
    </row>
    <row r="5" spans="1:12" ht="12.75" customHeight="1">
      <c r="A5" s="532"/>
      <c r="B5" s="145"/>
      <c r="C5" s="540"/>
      <c r="D5" s="142" t="s">
        <v>87</v>
      </c>
      <c r="E5" s="142" t="s">
        <v>87</v>
      </c>
      <c r="F5" s="543"/>
      <c r="G5" s="543"/>
      <c r="H5" s="546"/>
      <c r="I5" s="142" t="s">
        <v>87</v>
      </c>
      <c r="J5" s="549"/>
      <c r="K5" s="546"/>
    </row>
    <row r="6" spans="1:12" ht="12.75" customHeight="1">
      <c r="A6" s="533"/>
      <c r="B6" s="146"/>
      <c r="C6" s="541"/>
      <c r="D6" s="143" t="s">
        <v>88</v>
      </c>
      <c r="E6" s="143" t="s">
        <v>89</v>
      </c>
      <c r="F6" s="544"/>
      <c r="G6" s="544"/>
      <c r="H6" s="547"/>
      <c r="I6" s="143" t="s">
        <v>90</v>
      </c>
      <c r="J6" s="550"/>
      <c r="K6" s="547"/>
    </row>
    <row r="7" spans="1:12" ht="16.149999999999999" customHeight="1">
      <c r="A7" s="147" t="s">
        <v>63</v>
      </c>
      <c r="B7" s="120"/>
      <c r="C7" s="131">
        <v>8487275</v>
      </c>
      <c r="D7" s="132">
        <v>-3.6440925422694348</v>
      </c>
      <c r="E7" s="132" t="s">
        <v>91</v>
      </c>
      <c r="F7" s="133">
        <v>5758303</v>
      </c>
      <c r="G7" s="133">
        <v>2728972</v>
      </c>
      <c r="H7" s="128">
        <v>17.091883730785796</v>
      </c>
      <c r="I7" s="150">
        <v>-0.73691668723155956</v>
      </c>
      <c r="J7" s="128">
        <v>11.596212608008464</v>
      </c>
      <c r="K7" s="128">
        <v>5.4956711227773321</v>
      </c>
      <c r="L7" s="122"/>
    </row>
    <row r="8" spans="1:12" ht="16.149999999999999" customHeight="1">
      <c r="A8" s="147" t="s">
        <v>64</v>
      </c>
      <c r="B8" s="120"/>
      <c r="C8" s="131">
        <v>8226594</v>
      </c>
      <c r="D8" s="132">
        <v>-3.0714334106058776</v>
      </c>
      <c r="E8" s="132" t="s">
        <v>91</v>
      </c>
      <c r="F8" s="133">
        <v>5564301</v>
      </c>
      <c r="G8" s="133">
        <v>2662293</v>
      </c>
      <c r="H8" s="128">
        <v>16.492832977125424</v>
      </c>
      <c r="I8" s="150">
        <v>-0.59905075366037153</v>
      </c>
      <c r="J8" s="128">
        <v>11.155417056858765</v>
      </c>
      <c r="K8" s="128">
        <v>5.3374159202666593</v>
      </c>
      <c r="L8" s="122"/>
    </row>
    <row r="9" spans="1:12" ht="16.149999999999999" customHeight="1">
      <c r="A9" s="147" t="s">
        <v>81</v>
      </c>
      <c r="B9" s="120"/>
      <c r="C9" s="153">
        <v>8127199</v>
      </c>
      <c r="D9" s="132">
        <v>-1.2082156965568001</v>
      </c>
      <c r="E9" s="132" t="s">
        <v>110</v>
      </c>
      <c r="F9" s="133">
        <v>5522684</v>
      </c>
      <c r="G9" s="133">
        <v>2604515</v>
      </c>
      <c r="H9" s="128">
        <v>16.218231291154058</v>
      </c>
      <c r="I9" s="150">
        <v>-0.27460168597136558</v>
      </c>
      <c r="J9" s="128">
        <v>11.020793031727832</v>
      </c>
      <c r="K9" s="128">
        <v>5.1974382594262263</v>
      </c>
      <c r="L9" s="122"/>
    </row>
    <row r="10" spans="1:12" ht="16.149999999999999" customHeight="1">
      <c r="A10" s="147" t="s">
        <v>114</v>
      </c>
      <c r="B10" s="120"/>
      <c r="C10" s="153">
        <v>8127199</v>
      </c>
      <c r="D10" s="132">
        <v>-7.6349551672107445</v>
      </c>
      <c r="E10" s="132" t="s">
        <v>110</v>
      </c>
      <c r="F10" s="133">
        <v>5522684</v>
      </c>
      <c r="G10" s="133">
        <v>2604515</v>
      </c>
      <c r="H10" s="128">
        <v>16.218231291154058</v>
      </c>
      <c r="I10" s="150">
        <v>-0.27460168597136558</v>
      </c>
      <c r="J10" s="128">
        <v>11.020793031727832</v>
      </c>
      <c r="K10" s="128">
        <v>5.1974382594262263</v>
      </c>
      <c r="L10" s="122"/>
    </row>
    <row r="11" spans="1:12" ht="16.149999999999999" customHeight="1">
      <c r="A11" s="154" t="s">
        <v>103</v>
      </c>
      <c r="B11" s="155"/>
      <c r="C11" s="156">
        <v>631545</v>
      </c>
      <c r="D11" s="157">
        <v>8.4823176974185959</v>
      </c>
      <c r="E11" s="157">
        <v>8.4823176974185959</v>
      </c>
      <c r="F11" s="158">
        <v>412522</v>
      </c>
      <c r="G11" s="158">
        <v>219023</v>
      </c>
      <c r="H11" s="159">
        <v>1.2678925487540214</v>
      </c>
      <c r="I11" s="160">
        <v>9.3038917587033199E-2</v>
      </c>
      <c r="J11" s="159">
        <v>0.82818100055753174</v>
      </c>
      <c r="K11" s="159">
        <v>0.43971154819648961</v>
      </c>
      <c r="L11" s="122"/>
    </row>
    <row r="12" spans="1:12" ht="16.149999999999999" customHeight="1">
      <c r="A12" s="147" t="s">
        <v>93</v>
      </c>
      <c r="B12" s="120"/>
      <c r="C12" s="131">
        <v>783081</v>
      </c>
      <c r="D12" s="132">
        <v>-7.6117451905266416</v>
      </c>
      <c r="E12" s="132">
        <v>-1.0586377313147222</v>
      </c>
      <c r="F12" s="133">
        <v>505447</v>
      </c>
      <c r="G12" s="133">
        <v>277634</v>
      </c>
      <c r="H12" s="128">
        <v>1.571337009881604</v>
      </c>
      <c r="I12" s="150">
        <v>-0.13829715840371604</v>
      </c>
      <c r="J12" s="128">
        <v>1.0142342588233235</v>
      </c>
      <c r="K12" s="128">
        <v>0.55710275105828033</v>
      </c>
      <c r="L12" s="122"/>
    </row>
    <row r="13" spans="1:12" ht="16.149999999999999" customHeight="1">
      <c r="A13" s="147" t="s">
        <v>94</v>
      </c>
      <c r="B13" s="120"/>
      <c r="C13" s="131">
        <v>882541</v>
      </c>
      <c r="D13" s="132">
        <v>4.9127808143944351</v>
      </c>
      <c r="E13" s="132">
        <v>1.1532926812084321</v>
      </c>
      <c r="F13" s="133">
        <v>587004</v>
      </c>
      <c r="G13" s="133">
        <v>295537</v>
      </c>
      <c r="H13" s="128">
        <v>1.7699353751910187</v>
      </c>
      <c r="I13" s="150">
        <v>7.3815652262041231E-2</v>
      </c>
      <c r="J13" s="128">
        <v>1.1772361227168242</v>
      </c>
      <c r="K13" s="128">
        <v>0.59269925247419453</v>
      </c>
      <c r="L13" s="122"/>
    </row>
    <row r="14" spans="1:12" ht="16.149999999999999" customHeight="1">
      <c r="A14" s="147" t="s">
        <v>95</v>
      </c>
      <c r="B14" s="120"/>
      <c r="C14" s="131">
        <v>709932</v>
      </c>
      <c r="D14" s="132">
        <v>0.65816898013583069</v>
      </c>
      <c r="E14" s="132">
        <v>1.0359625114153104</v>
      </c>
      <c r="F14" s="133">
        <v>485675</v>
      </c>
      <c r="G14" s="133">
        <v>224257</v>
      </c>
      <c r="H14" s="128">
        <v>1.4230195458429067</v>
      </c>
      <c r="I14" s="150">
        <v>8.8226278467740116E-4</v>
      </c>
      <c r="J14" s="128">
        <v>0.97350875566568862</v>
      </c>
      <c r="K14" s="128">
        <v>0.44951079017721796</v>
      </c>
      <c r="L14" s="122"/>
    </row>
    <row r="15" spans="1:12" ht="16.149999999999999" customHeight="1">
      <c r="A15" s="147" t="s">
        <v>96</v>
      </c>
      <c r="B15" s="120"/>
      <c r="C15" s="131">
        <v>663632</v>
      </c>
      <c r="D15" s="132">
        <v>-0.85840885120216082</v>
      </c>
      <c r="E15" s="132">
        <v>0.68813630733006292</v>
      </c>
      <c r="F15" s="133">
        <v>456678</v>
      </c>
      <c r="G15" s="133">
        <v>206954</v>
      </c>
      <c r="H15" s="128">
        <v>1.329567369101579</v>
      </c>
      <c r="I15" s="150">
        <v>-1.9474263925270963E-2</v>
      </c>
      <c r="J15" s="128">
        <v>0.91494106219496785</v>
      </c>
      <c r="K15" s="128">
        <v>0.41462630690661118</v>
      </c>
      <c r="L15" s="122"/>
    </row>
    <row r="16" spans="1:12" ht="16.149999999999999" customHeight="1">
      <c r="A16" s="147" t="s">
        <v>97</v>
      </c>
      <c r="B16" s="120"/>
      <c r="C16" s="131">
        <v>648218</v>
      </c>
      <c r="D16" s="132">
        <v>-5.4785072376488975</v>
      </c>
      <c r="E16" s="132">
        <v>-0.28821870267876704</v>
      </c>
      <c r="F16" s="133">
        <v>446680</v>
      </c>
      <c r="G16" s="133">
        <v>201538</v>
      </c>
      <c r="H16" s="128">
        <v>1.2981462817632974</v>
      </c>
      <c r="I16" s="150">
        <v>-8.3317027610321226E-2</v>
      </c>
      <c r="J16" s="128">
        <v>0.89453853663124094</v>
      </c>
      <c r="K16" s="128">
        <v>0.40360774513205655</v>
      </c>
      <c r="L16" s="122"/>
    </row>
    <row r="17" spans="1:12" ht="16.149999999999999" customHeight="1">
      <c r="A17" s="147" t="s">
        <v>98</v>
      </c>
      <c r="B17" s="120"/>
      <c r="C17" s="131">
        <v>602993</v>
      </c>
      <c r="D17" s="132">
        <v>-10.176000476683475</v>
      </c>
      <c r="E17" s="132">
        <v>-1.6150356065018796</v>
      </c>
      <c r="F17" s="133">
        <v>410413</v>
      </c>
      <c r="G17" s="133">
        <v>192580</v>
      </c>
      <c r="H17" s="128">
        <v>1.2070665659898741</v>
      </c>
      <c r="I17" s="150">
        <v>-0.144586778846018</v>
      </c>
      <c r="J17" s="128">
        <v>0.82156146182062173</v>
      </c>
      <c r="K17" s="128">
        <v>0.38550510416925232</v>
      </c>
      <c r="L17" s="122"/>
    </row>
    <row r="18" spans="1:12" ht="16.149999999999999" customHeight="1">
      <c r="A18" s="147" t="s">
        <v>99</v>
      </c>
      <c r="B18" s="120"/>
      <c r="C18" s="131">
        <v>655501</v>
      </c>
      <c r="D18" s="132">
        <v>-4.1515266277034559</v>
      </c>
      <c r="E18" s="132">
        <v>-1.9200823826972422</v>
      </c>
      <c r="F18" s="133">
        <v>433643</v>
      </c>
      <c r="G18" s="133">
        <v>221858</v>
      </c>
      <c r="H18" s="128">
        <v>1.3116063094910348</v>
      </c>
      <c r="I18" s="150">
        <v>-6.4763946631973601E-2</v>
      </c>
      <c r="J18" s="128">
        <v>0.8676857775451462</v>
      </c>
      <c r="K18" s="128">
        <v>0.44392053194588876</v>
      </c>
      <c r="L18" s="122"/>
    </row>
    <row r="19" spans="1:12" ht="16.149999999999999" customHeight="1">
      <c r="A19" s="147" t="s">
        <v>100</v>
      </c>
      <c r="B19" s="120"/>
      <c r="C19" s="131">
        <v>552496</v>
      </c>
      <c r="D19" s="132">
        <v>-17.631589147864666</v>
      </c>
      <c r="E19" s="132">
        <v>-3.577787309986971</v>
      </c>
      <c r="F19" s="133">
        <v>373325</v>
      </c>
      <c r="G19" s="133">
        <v>179171</v>
      </c>
      <c r="H19" s="128">
        <v>1.1049638676199305</v>
      </c>
      <c r="I19" s="150">
        <v>-0.24434958400495477</v>
      </c>
      <c r="J19" s="128">
        <v>0.74663099077497486</v>
      </c>
      <c r="K19" s="128">
        <v>0.35833287684495552</v>
      </c>
      <c r="L19" s="122"/>
    </row>
    <row r="20" spans="1:12" ht="16.149999999999999" customHeight="1">
      <c r="A20" s="147" t="s">
        <v>101</v>
      </c>
      <c r="B20" s="120"/>
      <c r="C20" s="131">
        <v>670594</v>
      </c>
      <c r="D20" s="132">
        <v>-5.3858320153167405</v>
      </c>
      <c r="E20" s="132">
        <v>-3.7591421649099366</v>
      </c>
      <c r="F20" s="133">
        <v>465539</v>
      </c>
      <c r="G20" s="133">
        <v>205055</v>
      </c>
      <c r="H20" s="128">
        <v>1.3425017184816375</v>
      </c>
      <c r="I20" s="150">
        <v>-8.2548566742750129E-2</v>
      </c>
      <c r="J20" s="128">
        <v>0.93199000814236788</v>
      </c>
      <c r="K20" s="128">
        <v>0.41051171033926964</v>
      </c>
      <c r="L20" s="122"/>
    </row>
    <row r="21" spans="1:12" ht="16.149999999999999" customHeight="1">
      <c r="A21" s="147" t="s">
        <v>102</v>
      </c>
      <c r="B21" s="120"/>
      <c r="C21" s="131">
        <v>698948</v>
      </c>
      <c r="D21" s="132">
        <v>2.981074530546695</v>
      </c>
      <c r="E21" s="132">
        <v>-3.168469471747446</v>
      </c>
      <c r="F21" s="133">
        <v>491413</v>
      </c>
      <c r="G21" s="133">
        <v>207535</v>
      </c>
      <c r="H21" s="128">
        <v>1.3985430219436721</v>
      </c>
      <c r="I21" s="150">
        <v>3.4542385357120065E-2</v>
      </c>
      <c r="J21" s="128">
        <v>0.98328090507792532</v>
      </c>
      <c r="K21" s="128">
        <v>0.41526211686574677</v>
      </c>
      <c r="L21" s="122"/>
    </row>
    <row r="22" spans="1:12" ht="16.149999999999999" customHeight="1">
      <c r="A22" s="161" t="s">
        <v>92</v>
      </c>
      <c r="B22" s="162"/>
      <c r="C22" s="163">
        <v>727113</v>
      </c>
      <c r="D22" s="164">
        <v>-2.0591325431034484</v>
      </c>
      <c r="E22" s="164">
        <v>-3.0714334106058776</v>
      </c>
      <c r="F22" s="165">
        <v>495962</v>
      </c>
      <c r="G22" s="165">
        <v>231151</v>
      </c>
      <c r="H22" s="166">
        <v>1.4546193872670925</v>
      </c>
      <c r="I22" s="167">
        <v>-3.6948003139923191E-2</v>
      </c>
      <c r="J22" s="166">
        <v>0.99219232849331773</v>
      </c>
      <c r="K22" s="166">
        <v>0.46242705877377477</v>
      </c>
      <c r="L22" s="122"/>
    </row>
    <row r="23" spans="1:12" ht="16.149999999999999" customHeight="1">
      <c r="A23" s="147" t="s">
        <v>104</v>
      </c>
      <c r="B23" s="120"/>
      <c r="C23" s="131">
        <v>640249</v>
      </c>
      <c r="D23" s="132">
        <v>1.3782074119817274</v>
      </c>
      <c r="E23" s="132">
        <v>1.3782074119817274</v>
      </c>
      <c r="F23" s="133">
        <v>424507</v>
      </c>
      <c r="G23" s="133">
        <v>215742</v>
      </c>
      <c r="H23" s="128">
        <v>1.2802324797836928</v>
      </c>
      <c r="I23" s="150">
        <v>1.2339931029671458E-2</v>
      </c>
      <c r="J23" s="128">
        <v>0.84883795100896076</v>
      </c>
      <c r="K23" s="128">
        <v>0.43139452877473211</v>
      </c>
      <c r="L23" s="122"/>
    </row>
    <row r="24" spans="1:12" ht="16.149999999999999" customHeight="1">
      <c r="A24" s="147" t="s">
        <v>93</v>
      </c>
      <c r="B24" s="120"/>
      <c r="C24" s="131">
        <v>786551</v>
      </c>
      <c r="D24" s="132">
        <v>0.44312146508471023</v>
      </c>
      <c r="E24" s="132">
        <v>0.8605808178274682</v>
      </c>
      <c r="F24" s="133">
        <v>512898</v>
      </c>
      <c r="G24" s="133">
        <v>273653</v>
      </c>
      <c r="H24" s="128">
        <v>1.5719260107128654</v>
      </c>
      <c r="I24" s="150">
        <v>5.8900083126145475E-4</v>
      </c>
      <c r="J24" s="128">
        <v>1.0250291551884205</v>
      </c>
      <c r="K24" s="128">
        <v>0.546896855524445</v>
      </c>
      <c r="L24" s="122"/>
    </row>
    <row r="25" spans="1:12" ht="16.149999999999999" customHeight="1">
      <c r="A25" s="147" t="s">
        <v>94</v>
      </c>
      <c r="B25" s="120"/>
      <c r="C25" s="131">
        <v>824688</v>
      </c>
      <c r="D25" s="132">
        <v>-6.5552761854690038</v>
      </c>
      <c r="E25" s="132">
        <v>-1.9884927826318244</v>
      </c>
      <c r="F25" s="133">
        <v>557008</v>
      </c>
      <c r="G25" s="133">
        <v>267680</v>
      </c>
      <c r="H25" s="128">
        <v>1.647777523979538</v>
      </c>
      <c r="I25" s="150">
        <v>-0.12215785121148071</v>
      </c>
      <c r="J25" s="128">
        <v>1.1129363626932784</v>
      </c>
      <c r="K25" s="128">
        <v>0.53484116128625947</v>
      </c>
      <c r="L25" s="122"/>
    </row>
    <row r="26" spans="1:12" ht="16.149999999999999" customHeight="1">
      <c r="A26" s="147" t="s">
        <v>95</v>
      </c>
      <c r="B26" s="120"/>
      <c r="C26" s="131">
        <v>673541</v>
      </c>
      <c r="D26" s="132">
        <v>-5.125983897049295</v>
      </c>
      <c r="E26" s="132">
        <v>-2.7292084497384357</v>
      </c>
      <c r="F26" s="133">
        <v>465853</v>
      </c>
      <c r="G26" s="133">
        <v>207688</v>
      </c>
      <c r="H26" s="128">
        <v>1.345233568363055</v>
      </c>
      <c r="I26" s="150">
        <v>-7.778597747985172E-2</v>
      </c>
      <c r="J26" s="128">
        <v>0.93042753673886858</v>
      </c>
      <c r="K26" s="128">
        <v>0.41480603162418644</v>
      </c>
      <c r="L26" s="122"/>
    </row>
    <row r="27" spans="1:12" ht="16.149999999999999" customHeight="1">
      <c r="A27" s="147" t="s">
        <v>96</v>
      </c>
      <c r="B27" s="120"/>
      <c r="C27" s="131">
        <v>672248</v>
      </c>
      <c r="D27" s="132">
        <v>1.298309906695277</v>
      </c>
      <c r="E27" s="132">
        <v>-2.0010728108379503</v>
      </c>
      <c r="F27" s="133">
        <v>466876</v>
      </c>
      <c r="G27" s="133">
        <v>205372</v>
      </c>
      <c r="H27" s="128">
        <v>1.3419677595803059</v>
      </c>
      <c r="I27" s="150">
        <v>1.2400390478726875E-2</v>
      </c>
      <c r="J27" s="128">
        <v>0.93199613791608882</v>
      </c>
      <c r="K27" s="128">
        <v>0.40997162166421708</v>
      </c>
      <c r="L27" s="122"/>
    </row>
    <row r="28" spans="1:12" ht="16.149999999999999" customHeight="1">
      <c r="A28" s="147" t="s">
        <v>97</v>
      </c>
      <c r="B28" s="120"/>
      <c r="C28" s="131">
        <v>630295</v>
      </c>
      <c r="D28" s="132">
        <v>-2.7649648729285516</v>
      </c>
      <c r="E28" s="132">
        <v>-2.1157230613281151</v>
      </c>
      <c r="F28" s="133">
        <v>433461</v>
      </c>
      <c r="G28" s="133">
        <v>196834</v>
      </c>
      <c r="H28" s="128">
        <v>1.2576435173090375</v>
      </c>
      <c r="I28" s="150">
        <v>-4.0502764454259932E-2</v>
      </c>
      <c r="J28" s="128">
        <v>0.86489567052934369</v>
      </c>
      <c r="K28" s="128">
        <v>0.39274784677969371</v>
      </c>
      <c r="L28" s="122"/>
    </row>
    <row r="29" spans="1:12" ht="16.149999999999999" customHeight="1">
      <c r="A29" s="147" t="s">
        <v>98</v>
      </c>
      <c r="B29" s="120"/>
      <c r="C29" s="131">
        <v>575022</v>
      </c>
      <c r="D29" s="132">
        <v>-4.6386939815221737</v>
      </c>
      <c r="E29" s="132">
        <v>-2.4248152456896079</v>
      </c>
      <c r="F29" s="133">
        <v>391847</v>
      </c>
      <c r="G29" s="133">
        <v>183175</v>
      </c>
      <c r="H29" s="128">
        <v>1.1470974507781861</v>
      </c>
      <c r="I29" s="150">
        <v>-5.9969115211687907E-2</v>
      </c>
      <c r="J29" s="128">
        <v>0.78168608295870401</v>
      </c>
      <c r="K29" s="128">
        <v>0.36541136781948214</v>
      </c>
      <c r="L29" s="122"/>
    </row>
    <row r="30" spans="1:12" ht="16.149999999999999" customHeight="1">
      <c r="A30" s="147" t="s">
        <v>99</v>
      </c>
      <c r="B30" s="120"/>
      <c r="C30" s="131">
        <v>704132</v>
      </c>
      <c r="D30" s="132">
        <v>7.4189055394270946</v>
      </c>
      <c r="E30" s="132">
        <v>-1.2679107612574436</v>
      </c>
      <c r="F30" s="133">
        <v>472563</v>
      </c>
      <c r="G30" s="133">
        <v>231569</v>
      </c>
      <c r="H30" s="128">
        <v>1.4038907399559633</v>
      </c>
      <c r="I30" s="150">
        <v>9.2284430464928402E-2</v>
      </c>
      <c r="J30" s="128">
        <v>0.94219098087547482</v>
      </c>
      <c r="K30" s="128">
        <v>0.46169975908048838</v>
      </c>
      <c r="L30" s="122"/>
    </row>
    <row r="31" spans="1:12" ht="16.149999999999999" customHeight="1">
      <c r="A31" s="147" t="s">
        <v>100</v>
      </c>
      <c r="B31" s="120"/>
      <c r="C31" s="131">
        <v>593848</v>
      </c>
      <c r="D31" s="132">
        <v>7.4845790738756479</v>
      </c>
      <c r="E31" s="132">
        <v>-0.47904228737023319</v>
      </c>
      <c r="F31" s="133">
        <v>401299</v>
      </c>
      <c r="G31" s="133">
        <v>192549</v>
      </c>
      <c r="H31" s="128">
        <v>1.1835860683926707</v>
      </c>
      <c r="I31" s="150">
        <v>7.8622200772740181E-2</v>
      </c>
      <c r="J31" s="128">
        <v>0.79982067071019913</v>
      </c>
      <c r="K31" s="128">
        <v>0.38376539768247148</v>
      </c>
      <c r="L31" s="122"/>
    </row>
    <row r="32" spans="1:12" ht="16.149999999999999" customHeight="1">
      <c r="A32" s="147" t="s">
        <v>101</v>
      </c>
      <c r="B32" s="120"/>
      <c r="C32" s="131">
        <v>653713</v>
      </c>
      <c r="D32" s="132">
        <v>-2.5173204651398611</v>
      </c>
      <c r="E32" s="132">
        <v>-0.68003493255602165</v>
      </c>
      <c r="F32" s="133">
        <v>452614</v>
      </c>
      <c r="G32" s="133">
        <v>201099</v>
      </c>
      <c r="H32" s="128">
        <v>1.3023595348901795</v>
      </c>
      <c r="I32" s="150">
        <v>-4.0142183591457936E-2</v>
      </c>
      <c r="J32" s="128">
        <v>0.90172011039215028</v>
      </c>
      <c r="K32" s="128">
        <v>0.40063942449802931</v>
      </c>
      <c r="L32" s="122"/>
    </row>
    <row r="33" spans="1:12" ht="16.149999999999999" customHeight="1">
      <c r="A33" s="148" t="s">
        <v>102</v>
      </c>
      <c r="B33" s="126"/>
      <c r="C33" s="134">
        <v>666142</v>
      </c>
      <c r="D33" s="135">
        <v>-4.6936252768446298</v>
      </c>
      <c r="E33" s="135">
        <v>-1.0540462733354481</v>
      </c>
      <c r="F33" s="136">
        <v>464146</v>
      </c>
      <c r="G33" s="136">
        <v>201996</v>
      </c>
      <c r="H33" s="129">
        <v>1.3265351680116844</v>
      </c>
      <c r="I33" s="151">
        <v>-7.200785393198772E-2</v>
      </c>
      <c r="J33" s="129">
        <v>0.92428640153593566</v>
      </c>
      <c r="K33" s="129">
        <v>0.40224876647574875</v>
      </c>
      <c r="L33" s="122"/>
    </row>
    <row r="34" spans="1:12" ht="16.149999999999999" customHeight="1">
      <c r="A34" s="171" t="s">
        <v>92</v>
      </c>
      <c r="B34" s="172"/>
      <c r="C34" s="173">
        <v>706766</v>
      </c>
      <c r="D34" s="174">
        <v>-2.7983270825855127</v>
      </c>
      <c r="E34" s="174">
        <v>-1.2082156965568009</v>
      </c>
      <c r="F34" s="175">
        <v>479610</v>
      </c>
      <c r="G34" s="175">
        <v>227156</v>
      </c>
      <c r="H34" s="176">
        <v>1.4068782257066494</v>
      </c>
      <c r="I34" s="177">
        <v>-4.7741161560443057E-2</v>
      </c>
      <c r="J34" s="176">
        <v>0.95470476201623478</v>
      </c>
      <c r="K34" s="176">
        <v>0.45217346369041472</v>
      </c>
      <c r="L34" s="122"/>
    </row>
    <row r="35" spans="1:12" ht="16.149999999999999" customHeight="1">
      <c r="A35" s="147" t="s">
        <v>113</v>
      </c>
      <c r="B35" s="120"/>
      <c r="C35" s="131">
        <v>582501</v>
      </c>
      <c r="D35" s="132">
        <v>-9.0196158057255857</v>
      </c>
      <c r="E35" s="132">
        <v>-9.0196158057255857</v>
      </c>
      <c r="F35" s="133">
        <v>373166</v>
      </c>
      <c r="G35" s="133">
        <v>209335</v>
      </c>
      <c r="H35" s="128">
        <v>1.1593062357194117</v>
      </c>
      <c r="I35" s="150">
        <v>-0.1209262440642811</v>
      </c>
      <c r="J35" s="128">
        <v>0.74268313832674959</v>
      </c>
      <c r="K35" s="128">
        <v>0.41662309739266207</v>
      </c>
      <c r="L35" s="122"/>
    </row>
    <row r="36" spans="1:12" ht="16.149999999999999" customHeight="1">
      <c r="A36" s="147" t="s">
        <v>93</v>
      </c>
      <c r="B36" s="120"/>
      <c r="C36" s="131">
        <v>819205</v>
      </c>
      <c r="D36" s="132">
        <v>4.1515426208853592</v>
      </c>
      <c r="E36" s="132">
        <v>-1.7587608634707037</v>
      </c>
      <c r="F36" s="133">
        <v>520511</v>
      </c>
      <c r="G36" s="133">
        <v>298694</v>
      </c>
      <c r="H36" s="128">
        <v>1.6296285834154078</v>
      </c>
      <c r="I36" s="150">
        <v>5.7702572702542421E-2</v>
      </c>
      <c r="J36" s="128">
        <v>1.0354424150025174</v>
      </c>
      <c r="K36" s="128">
        <v>0.59418616841289029</v>
      </c>
      <c r="L36" s="122"/>
    </row>
    <row r="37" spans="1:12" ht="16.149999999999999" customHeight="1">
      <c r="A37" s="147" t="s">
        <v>94</v>
      </c>
      <c r="B37" s="120"/>
      <c r="C37" s="131">
        <v>717005</v>
      </c>
      <c r="D37" s="132">
        <v>-13.057422928428691</v>
      </c>
      <c r="E37" s="132">
        <v>-5.89729991898691</v>
      </c>
      <c r="F37" s="133">
        <v>470238</v>
      </c>
      <c r="G37" s="133">
        <v>246767</v>
      </c>
      <c r="H37" s="128">
        <v>1.4262812954418853</v>
      </c>
      <c r="I37" s="150">
        <v>-0.22149622853765272</v>
      </c>
      <c r="J37" s="128">
        <v>0.93540723398860715</v>
      </c>
      <c r="K37" s="128">
        <v>0.49087406145327817</v>
      </c>
      <c r="L37" s="122"/>
    </row>
    <row r="38" spans="1:12" ht="16.149999999999999" customHeight="1">
      <c r="A38" s="147" t="s">
        <v>95</v>
      </c>
      <c r="B38" s="120"/>
      <c r="C38" s="131">
        <v>630685</v>
      </c>
      <c r="D38" s="132">
        <v>-6.3627900899870982</v>
      </c>
      <c r="E38" s="132">
        <v>-6.0044874768762977</v>
      </c>
      <c r="F38" s="133">
        <v>429337</v>
      </c>
      <c r="G38" s="133">
        <v>201348</v>
      </c>
      <c r="H38" s="128">
        <v>1.2539590019815687</v>
      </c>
      <c r="I38" s="150">
        <v>-9.1274566381486233E-2</v>
      </c>
      <c r="J38" s="128">
        <v>0.85362898441180746</v>
      </c>
      <c r="K38" s="128">
        <v>0.40033001756976133</v>
      </c>
      <c r="L38" s="122"/>
    </row>
    <row r="39" spans="1:12" ht="16.149999999999999" customHeight="1">
      <c r="A39" s="147" t="s">
        <v>96</v>
      </c>
      <c r="B39" s="120"/>
      <c r="C39" s="131">
        <v>624944</v>
      </c>
      <c r="D39" s="132">
        <v>-7.036688841022956</v>
      </c>
      <c r="E39" s="132">
        <v>-6.1973820753864661</v>
      </c>
      <c r="F39" s="133">
        <v>426719</v>
      </c>
      <c r="G39" s="133">
        <v>198225</v>
      </c>
      <c r="H39" s="128">
        <v>1.2419696979934729</v>
      </c>
      <c r="I39" s="150">
        <v>-9.9998061586832998E-2</v>
      </c>
      <c r="J39" s="128">
        <v>0.84803129169665881</v>
      </c>
      <c r="K39" s="128">
        <v>0.39393840629681404</v>
      </c>
      <c r="L39" s="122"/>
    </row>
    <row r="40" spans="1:12" ht="16.149999999999999" customHeight="1">
      <c r="A40" s="147" t="s">
        <v>97</v>
      </c>
      <c r="B40" s="120"/>
      <c r="C40" s="131">
        <v>542041</v>
      </c>
      <c r="D40" s="132">
        <v>-14.002014929517131</v>
      </c>
      <c r="E40" s="132">
        <v>-7.3609864007047072</v>
      </c>
      <c r="F40" s="133">
        <v>366744</v>
      </c>
      <c r="G40" s="133">
        <v>175297</v>
      </c>
      <c r="H40" s="128">
        <v>1.0768031338560731</v>
      </c>
      <c r="I40" s="150">
        <v>-0.18084038345296438</v>
      </c>
      <c r="J40" s="128">
        <v>0.72856313179798515</v>
      </c>
      <c r="K40" s="128">
        <v>0.34824000205808797</v>
      </c>
      <c r="L40" s="122"/>
    </row>
    <row r="41" spans="1:12" ht="16.149999999999999" customHeight="1">
      <c r="A41" s="147" t="s">
        <v>98</v>
      </c>
      <c r="B41" s="120"/>
      <c r="C41" s="131">
        <v>559846</v>
      </c>
      <c r="D41" s="132">
        <v>-2.6392033696102062</v>
      </c>
      <c r="E41" s="132">
        <v>-6.7956400228709732</v>
      </c>
      <c r="F41" s="133">
        <v>376513</v>
      </c>
      <c r="G41" s="133">
        <v>183333</v>
      </c>
      <c r="H41" s="128">
        <v>1.1117902178562391</v>
      </c>
      <c r="I41" s="150">
        <v>-3.530723292194704E-2</v>
      </c>
      <c r="J41" s="128">
        <v>0.74771181770648742</v>
      </c>
      <c r="K41" s="128">
        <v>0.36407840014975168</v>
      </c>
      <c r="L41" s="122"/>
    </row>
    <row r="42" spans="1:12" ht="16.149999999999999" customHeight="1">
      <c r="A42" s="147" t="s">
        <v>99</v>
      </c>
      <c r="B42" s="120"/>
      <c r="C42" s="131">
        <v>584403</v>
      </c>
      <c r="D42" s="132">
        <v>-17.003772020018975</v>
      </c>
      <c r="E42" s="132">
        <v>-8.1009296631065357</v>
      </c>
      <c r="F42" s="133">
        <v>383362</v>
      </c>
      <c r="G42" s="133">
        <v>201041</v>
      </c>
      <c r="H42" s="128">
        <v>1.1600273307705673</v>
      </c>
      <c r="I42" s="150">
        <v>-0.24386340918539595</v>
      </c>
      <c r="J42" s="128">
        <v>0.76096528864305324</v>
      </c>
      <c r="K42" s="128">
        <v>0.39906204212751412</v>
      </c>
      <c r="L42" s="122"/>
    </row>
    <row r="43" spans="1:12" ht="16.149999999999999" customHeight="1">
      <c r="A43" s="147" t="s">
        <v>100</v>
      </c>
      <c r="B43" s="120"/>
      <c r="C43" s="131">
        <v>505118</v>
      </c>
      <c r="D43" s="132">
        <v>-14.941533860516497</v>
      </c>
      <c r="E43" s="132">
        <v>-8.7668144013989497</v>
      </c>
      <c r="F43" s="133">
        <v>340809</v>
      </c>
      <c r="G43" s="133">
        <v>164309</v>
      </c>
      <c r="H43" s="128">
        <v>1.0021663759508956</v>
      </c>
      <c r="I43" s="150">
        <v>-0.18141969244177503</v>
      </c>
      <c r="J43" s="128">
        <v>0.67617333063056317</v>
      </c>
      <c r="K43" s="128">
        <v>0.32599304532033252</v>
      </c>
      <c r="L43" s="122"/>
    </row>
    <row r="44" spans="1:12" ht="16.149999999999999" customHeight="1">
      <c r="A44" s="147" t="s">
        <v>101</v>
      </c>
      <c r="B44" s="120"/>
      <c r="C44" s="131">
        <v>643977</v>
      </c>
      <c r="D44" s="132">
        <v>-1.4899413660651322</v>
      </c>
      <c r="E44" s="132">
        <v>-8.0625190712096941</v>
      </c>
      <c r="F44" s="133">
        <v>436772</v>
      </c>
      <c r="G44" s="133">
        <v>207205</v>
      </c>
      <c r="H44" s="128">
        <v>1.2774051372801352</v>
      </c>
      <c r="I44" s="150">
        <v>-2.4962366608885622E-2</v>
      </c>
      <c r="J44" s="128">
        <v>0.86638932232070276</v>
      </c>
      <c r="K44" s="128">
        <v>0.4110158149594324</v>
      </c>
      <c r="L44" s="122"/>
    </row>
    <row r="45" spans="1:12" ht="16.149999999999999" customHeight="1">
      <c r="A45" s="148" t="s">
        <v>102</v>
      </c>
      <c r="B45" s="126"/>
      <c r="C45" s="134">
        <v>649081</v>
      </c>
      <c r="D45" s="135">
        <v>-2.5611656373565994</v>
      </c>
      <c r="E45" s="135">
        <v>-7.5686553601386874</v>
      </c>
      <c r="F45" s="136">
        <v>442758</v>
      </c>
      <c r="G45" s="136">
        <v>206323</v>
      </c>
      <c r="H45" s="129">
        <v>1.2870803157065853</v>
      </c>
      <c r="I45" s="151">
        <v>-3.9454852305099042E-2</v>
      </c>
      <c r="J45" s="129">
        <v>0.87795684424843168</v>
      </c>
      <c r="K45" s="129">
        <v>0.40912347145815359</v>
      </c>
      <c r="L45" s="122"/>
    </row>
    <row r="46" spans="1:12" ht="16.149999999999999" customHeight="1" thickBot="1">
      <c r="A46" s="149" t="s">
        <v>92</v>
      </c>
      <c r="B46" s="127"/>
      <c r="C46" s="137">
        <v>647885</v>
      </c>
      <c r="D46" s="138">
        <v>-8.3310459190170434</v>
      </c>
      <c r="E46" s="138">
        <v>-7.6349551672107445</v>
      </c>
      <c r="F46" s="139">
        <v>430222</v>
      </c>
      <c r="G46" s="139">
        <v>217663</v>
      </c>
      <c r="H46" s="130">
        <v>1.2841057992900329</v>
      </c>
      <c r="I46" s="152">
        <v>-0.12277242641661656</v>
      </c>
      <c r="J46" s="130">
        <v>0.85269849615619531</v>
      </c>
      <c r="K46" s="130">
        <v>0.43140730313383774</v>
      </c>
      <c r="L46" s="122"/>
    </row>
    <row r="47" spans="1:12" ht="15" customHeight="1">
      <c r="A47" s="125" t="s">
        <v>106</v>
      </c>
      <c r="B47" s="125"/>
      <c r="C47" s="123"/>
      <c r="D47" s="124"/>
      <c r="E47" s="124"/>
      <c r="F47" s="123"/>
      <c r="G47" s="123"/>
      <c r="H47" s="124"/>
      <c r="I47" s="124"/>
      <c r="J47" s="124"/>
      <c r="K47" s="124"/>
    </row>
    <row r="55" spans="13:23" ht="15" customHeight="1"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70"/>
    </row>
    <row r="56" spans="13:23" ht="15" customHeight="1"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70"/>
    </row>
    <row r="57" spans="13:23" ht="15" customHeight="1"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70"/>
    </row>
    <row r="58" spans="13:23" ht="15" customHeight="1"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70"/>
    </row>
    <row r="59" spans="13:23" ht="15" customHeight="1"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70"/>
    </row>
    <row r="60" spans="13:23" ht="15" customHeight="1"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70"/>
    </row>
    <row r="61" spans="13:23" ht="15" customHeight="1"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70"/>
    </row>
    <row r="62" spans="13:23" ht="15" customHeight="1"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70"/>
    </row>
    <row r="63" spans="13:23" ht="15" customHeight="1"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70"/>
    </row>
    <row r="64" spans="13:23" ht="15" customHeight="1"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70"/>
    </row>
    <row r="65" spans="13:23" ht="15" customHeight="1"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70"/>
    </row>
    <row r="66" spans="13:23" ht="15" customHeight="1"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</row>
  </sheetData>
  <mergeCells count="10">
    <mergeCell ref="A1:K1"/>
    <mergeCell ref="A3:A6"/>
    <mergeCell ref="C3:G3"/>
    <mergeCell ref="H3:K3"/>
    <mergeCell ref="C4:C6"/>
    <mergeCell ref="F4:F6"/>
    <mergeCell ref="G4:G6"/>
    <mergeCell ref="H4:H6"/>
    <mergeCell ref="J4:J6"/>
    <mergeCell ref="K4:K6"/>
  </mergeCells>
  <phoneticPr fontId="2" type="noConversion"/>
  <pageMargins left="0.7" right="0.7" top="0.75" bottom="0.49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5</vt:i4>
      </vt:variant>
    </vt:vector>
  </HeadingPairs>
  <TitlesOfParts>
    <vt:vector size="18" baseType="lpstr">
      <vt:lpstr>표지</vt:lpstr>
      <vt:lpstr>1. 성별 이동자수 및 이동률 추이</vt:lpstr>
      <vt:lpstr>2. 성 및 연령별 이동자수 및 이동률추이</vt:lpstr>
      <vt:lpstr>3. 시도별이동자추이</vt:lpstr>
      <vt:lpstr>4. 시도및성별</vt:lpstr>
      <vt:lpstr>5. 시도 및 연령별 순이동</vt:lpstr>
      <vt:lpstr>6.전입출지별(이동자)</vt:lpstr>
      <vt:lpstr>7.전입출지별(순이동)</vt:lpstr>
      <vt:lpstr>8.수도권 인구이동 추이</vt:lpstr>
      <vt:lpstr>9.월별</vt:lpstr>
      <vt:lpstr>10. 시도 및 전입사유별</vt:lpstr>
      <vt:lpstr>(참고)전입신고건수</vt:lpstr>
      <vt:lpstr>8.월별</vt:lpstr>
      <vt:lpstr>'1. 성별 이동자수 및 이동률 추이'!Print_Area</vt:lpstr>
      <vt:lpstr>'2. 성 및 연령별 이동자수 및 이동률추이'!Print_Area</vt:lpstr>
      <vt:lpstr>'4. 시도및성별'!Print_Area</vt:lpstr>
      <vt:lpstr>'9.월별'!Print_Area</vt:lpstr>
      <vt:lpstr>표지!Print_Area</vt:lpstr>
    </vt:vector>
  </TitlesOfParts>
  <Company>인구분석과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조순기</dc:creator>
  <cp:lastModifiedBy>user</cp:lastModifiedBy>
  <cp:lastPrinted>2026-01-28T00:35:30Z</cp:lastPrinted>
  <dcterms:created xsi:type="dcterms:W3CDTF">2002-09-18T07:28:44Z</dcterms:created>
  <dcterms:modified xsi:type="dcterms:W3CDTF">2026-01-28T02:05:06Z</dcterms:modified>
</cp:coreProperties>
</file>
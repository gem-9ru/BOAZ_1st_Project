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국내인구이동\14.기획보도\2025\★최종\최종파일\"/>
    </mc:Choice>
  </mc:AlternateContent>
  <xr:revisionPtr revIDLastSave="0" documentId="13_ncr:1_{8DBDD196-87BB-426F-B5CC-58B66B5CCBCE}" xr6:coauthVersionLast="47" xr6:coauthVersionMax="47" xr10:uidLastSave="{00000000-0000-0000-0000-000000000000}"/>
  <bookViews>
    <workbookView xWindow="-120" yWindow="-120" windowWidth="29040" windowHeight="15720" tabRatio="786" xr2:uid="{00000000-000D-0000-FFFF-FFFF00000000}"/>
  </bookViews>
  <sheets>
    <sheet name="1. 수도권 인구이동" sheetId="1" r:id="rId1"/>
    <sheet name="2. 성,연령별 순이동(전체)" sheetId="10" r:id="rId2"/>
    <sheet name="3. 성.연령별 순이동(남자)" sheetId="47" r:id="rId3"/>
    <sheet name="4. 성.연령별 순이동(여자)" sheetId="48" r:id="rId4"/>
    <sheet name="5. 이동규모별 연령별 이동" sheetId="60" r:id="rId5"/>
    <sheet name="6.전입사유별 이동" sheetId="66" r:id="rId6"/>
    <sheet name="7. 1인 이동의 연령별 전입사유별 순이동" sheetId="52" r:id="rId7"/>
    <sheet name="8. 전출 시도별 수도권 순이동" sheetId="7" r:id="rId8"/>
    <sheet name="9.전출 시도별 수도권 순이동(청년층,중장년층)" sheetId="50" r:id="rId9"/>
    <sheet name="10. 수도권 시도별 순이동" sheetId="2" r:id="rId10"/>
    <sheet name="11.수도권 시도의 전입사유별 순이동" sheetId="63" r:id="rId11"/>
    <sheet name="12.수도권내 시도간 연령별 순이동" sheetId="53" r:id="rId12"/>
    <sheet name="13.수도권 시도의 비수도권간 연령별 순이동" sheetId="67" r:id="rId13"/>
    <sheet name="수도권상위" sheetId="23" state="hidden" r:id="rId14"/>
    <sheet name="비수도권상위" sheetId="26" state="hidden" r:id="rId15"/>
  </sheets>
  <definedNames>
    <definedName name="p10">#REF!</definedName>
    <definedName name="p7">#REF!</definedName>
    <definedName name="_xlnm.Print_Area" localSheetId="0">'1. 수도권 인구이동'!$A$1:$G$65</definedName>
    <definedName name="_xlnm.Print_Area" localSheetId="9">'10. 수도권 시도별 순이동'!$A$1:$K$66</definedName>
    <definedName name="_xlnm.Print_Area" localSheetId="10">'11.수도권 시도의 전입사유별 순이동'!$A$1:$M$78</definedName>
    <definedName name="_xlnm.Print_Area" localSheetId="11">'12.수도권내 시도간 연령별 순이동'!$A$1:$W$69</definedName>
    <definedName name="_xlnm.Print_Area" localSheetId="12">'13.수도권 시도의 비수도권간 연령별 순이동'!$A$1:$W$69</definedName>
    <definedName name="_xlnm.Print_Area" localSheetId="1">'2. 성,연령별 순이동(전체)'!$A$1:$W$86</definedName>
    <definedName name="_xlnm.Print_Area" localSheetId="2">'3. 성.연령별 순이동(남자)'!$A$1:$W$86</definedName>
    <definedName name="_xlnm.Print_Area" localSheetId="3">'4. 성.연령별 순이동(여자)'!$A$1:$W$86</definedName>
    <definedName name="_xlnm.Print_Area" localSheetId="4">'5. 이동규모별 연령별 이동'!$A$1:$W$89</definedName>
    <definedName name="_xlnm.Print_Area" localSheetId="5">'6.전입사유별 이동'!$A$1:$M$66</definedName>
    <definedName name="_xlnm.Print_Area" localSheetId="6">'7. 1인 이동의 연령별 전입사유별 순이동'!$A$1:$M$96</definedName>
    <definedName name="_xlnm.Print_Area" localSheetId="7">'8. 전출 시도별 수도권 순이동'!$A$1:$P$66</definedName>
    <definedName name="_xlnm.Print_Area" localSheetId="8">'9.전출 시도별 수도권 순이동(청년층,중장년층)'!$A$1:$P$56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63" l="1"/>
  <c r="M25" i="66"/>
  <c r="L25" i="66"/>
  <c r="K25" i="66"/>
  <c r="J25" i="66"/>
  <c r="I25" i="66"/>
  <c r="H25" i="66"/>
  <c r="G25" i="66"/>
  <c r="F25" i="66"/>
  <c r="E25" i="66"/>
  <c r="D25" i="66"/>
  <c r="C25" i="66"/>
  <c r="B25" i="66"/>
  <c r="M24" i="66"/>
  <c r="L24" i="66"/>
  <c r="K24" i="66"/>
  <c r="J24" i="66"/>
  <c r="I24" i="66"/>
  <c r="H24" i="66"/>
  <c r="G24" i="66"/>
  <c r="F24" i="66"/>
  <c r="E24" i="66"/>
  <c r="D24" i="66"/>
  <c r="C24" i="66"/>
  <c r="B24" i="66"/>
  <c r="M23" i="66"/>
  <c r="L23" i="66"/>
  <c r="K23" i="66"/>
  <c r="J23" i="66"/>
  <c r="I23" i="66"/>
  <c r="H23" i="66"/>
  <c r="G23" i="66"/>
  <c r="F23" i="66"/>
  <c r="E23" i="66"/>
  <c r="D23" i="66"/>
  <c r="C23" i="66"/>
  <c r="B23" i="66"/>
  <c r="M22" i="66"/>
  <c r="L22" i="66"/>
  <c r="K22" i="66"/>
  <c r="J22" i="66"/>
  <c r="I22" i="66"/>
  <c r="H22" i="66"/>
  <c r="G22" i="66"/>
  <c r="F22" i="66"/>
  <c r="E22" i="66"/>
  <c r="D22" i="66"/>
  <c r="C22" i="66"/>
  <c r="B22" i="66"/>
  <c r="M21" i="66"/>
  <c r="L21" i="66"/>
  <c r="K21" i="66"/>
  <c r="J21" i="66"/>
  <c r="I21" i="66"/>
  <c r="H21" i="66"/>
  <c r="G21" i="66"/>
  <c r="F21" i="66"/>
  <c r="E21" i="66"/>
  <c r="D21" i="66"/>
  <c r="C21" i="66"/>
  <c r="B21" i="66"/>
  <c r="M20" i="66"/>
  <c r="L20" i="66"/>
  <c r="K20" i="66"/>
  <c r="J20" i="66"/>
  <c r="I20" i="66"/>
  <c r="H20" i="66"/>
  <c r="G20" i="66"/>
  <c r="F20" i="66"/>
  <c r="E20" i="66"/>
  <c r="D20" i="66"/>
  <c r="C20" i="66"/>
  <c r="B20" i="66"/>
  <c r="M19" i="66"/>
  <c r="L19" i="66"/>
  <c r="K19" i="66"/>
  <c r="J19" i="66"/>
  <c r="I19" i="66"/>
  <c r="H19" i="66"/>
  <c r="G19" i="66"/>
  <c r="F19" i="66"/>
  <c r="E19" i="66"/>
  <c r="D19" i="66"/>
  <c r="C19" i="66"/>
  <c r="B19" i="66"/>
  <c r="M17" i="66"/>
  <c r="L17" i="66"/>
  <c r="K17" i="66"/>
  <c r="J17" i="66"/>
  <c r="I17" i="66"/>
  <c r="H17" i="66"/>
  <c r="G17" i="66"/>
  <c r="F17" i="66"/>
  <c r="E17" i="66"/>
  <c r="D17" i="66"/>
  <c r="C17" i="66"/>
  <c r="B17" i="66"/>
  <c r="M15" i="66"/>
  <c r="L15" i="66"/>
  <c r="K15" i="66"/>
  <c r="J15" i="66"/>
  <c r="I15" i="66"/>
  <c r="H15" i="66"/>
  <c r="G15" i="66"/>
  <c r="F15" i="66"/>
  <c r="E15" i="66"/>
  <c r="D15" i="66"/>
  <c r="C15" i="66"/>
  <c r="B15" i="66"/>
  <c r="M14" i="66"/>
  <c r="L14" i="66"/>
  <c r="K14" i="66"/>
  <c r="J14" i="66"/>
  <c r="I14" i="66"/>
  <c r="H14" i="66"/>
  <c r="G14" i="66"/>
  <c r="F14" i="66"/>
  <c r="E14" i="66"/>
  <c r="D14" i="66"/>
  <c r="C14" i="66"/>
  <c r="B14" i="66"/>
  <c r="M13" i="66"/>
  <c r="L13" i="66"/>
  <c r="K13" i="66"/>
  <c r="J13" i="66"/>
  <c r="I13" i="66"/>
  <c r="H13" i="66"/>
  <c r="G13" i="66"/>
  <c r="F13" i="66"/>
  <c r="E13" i="66"/>
  <c r="D13" i="66"/>
  <c r="C13" i="66"/>
  <c r="B13" i="66"/>
  <c r="M12" i="66"/>
  <c r="L12" i="66"/>
  <c r="K12" i="66"/>
  <c r="J12" i="66"/>
  <c r="I12" i="66"/>
  <c r="H12" i="66"/>
  <c r="G12" i="66"/>
  <c r="F12" i="66"/>
  <c r="E12" i="66"/>
  <c r="D12" i="66"/>
  <c r="C12" i="66"/>
  <c r="B12" i="66"/>
  <c r="M11" i="66"/>
  <c r="L11" i="66"/>
  <c r="K11" i="66"/>
  <c r="J11" i="66"/>
  <c r="I11" i="66"/>
  <c r="H11" i="66"/>
  <c r="G11" i="66"/>
  <c r="F11" i="66"/>
  <c r="E11" i="66"/>
  <c r="D11" i="66"/>
  <c r="C11" i="66"/>
  <c r="B11" i="66"/>
  <c r="M10" i="66"/>
  <c r="L10" i="66"/>
  <c r="K10" i="66"/>
  <c r="J10" i="66"/>
  <c r="I10" i="66"/>
  <c r="H10" i="66"/>
  <c r="G10" i="66"/>
  <c r="F10" i="66"/>
  <c r="E10" i="66"/>
  <c r="D10" i="66"/>
  <c r="C10" i="66"/>
  <c r="B10" i="66"/>
  <c r="M9" i="66"/>
  <c r="L9" i="66"/>
  <c r="K9" i="66"/>
  <c r="J9" i="66"/>
  <c r="I9" i="66"/>
  <c r="H9" i="66"/>
  <c r="G9" i="66"/>
  <c r="F9" i="66"/>
  <c r="E9" i="66"/>
  <c r="D9" i="66"/>
  <c r="C9" i="66"/>
  <c r="B9" i="66"/>
  <c r="M7" i="66"/>
  <c r="L7" i="66"/>
  <c r="K7" i="66"/>
  <c r="J7" i="66"/>
  <c r="I7" i="66"/>
  <c r="H7" i="66"/>
  <c r="G7" i="66"/>
  <c r="F7" i="66"/>
  <c r="E7" i="66"/>
  <c r="D7" i="66"/>
  <c r="C7" i="66"/>
  <c r="B7" i="66"/>
  <c r="C56" i="60"/>
  <c r="D56" i="60"/>
  <c r="E56" i="60"/>
  <c r="F56" i="60"/>
  <c r="G56" i="60"/>
  <c r="H56" i="60"/>
  <c r="I56" i="60"/>
  <c r="J56" i="60"/>
  <c r="K56" i="60"/>
  <c r="L56" i="60"/>
  <c r="M56" i="60"/>
  <c r="N56" i="60"/>
  <c r="O56" i="60"/>
  <c r="P56" i="60"/>
  <c r="Q56" i="60"/>
  <c r="R56" i="60"/>
  <c r="S56" i="60"/>
  <c r="T56" i="60"/>
  <c r="U56" i="60"/>
  <c r="V56" i="60"/>
  <c r="C57" i="60"/>
  <c r="D57" i="60"/>
  <c r="E57" i="60"/>
  <c r="F57" i="60"/>
  <c r="G57" i="60"/>
  <c r="H57" i="60"/>
  <c r="I57" i="60"/>
  <c r="J57" i="60"/>
  <c r="K57" i="60"/>
  <c r="L57" i="60"/>
  <c r="M57" i="60"/>
  <c r="N57" i="60"/>
  <c r="O57" i="60"/>
  <c r="P57" i="60"/>
  <c r="Q57" i="60"/>
  <c r="R57" i="60"/>
  <c r="S57" i="60"/>
  <c r="T57" i="60"/>
  <c r="U57" i="60"/>
  <c r="V57" i="60"/>
  <c r="C58" i="60"/>
  <c r="D58" i="60"/>
  <c r="E58" i="60"/>
  <c r="F58" i="60"/>
  <c r="G58" i="60"/>
  <c r="H58" i="60"/>
  <c r="I58" i="60"/>
  <c r="J58" i="60"/>
  <c r="K58" i="60"/>
  <c r="L58" i="60"/>
  <c r="M58" i="60"/>
  <c r="N58" i="60"/>
  <c r="O58" i="60"/>
  <c r="P58" i="60"/>
  <c r="Q58" i="60"/>
  <c r="R58" i="60"/>
  <c r="S58" i="60"/>
  <c r="T58" i="60"/>
  <c r="U58" i="60"/>
  <c r="V58" i="60"/>
  <c r="C59" i="60"/>
  <c r="D59" i="60"/>
  <c r="E59" i="60"/>
  <c r="F59" i="60"/>
  <c r="G59" i="60"/>
  <c r="H59" i="60"/>
  <c r="I59" i="60"/>
  <c r="J59" i="60"/>
  <c r="K59" i="60"/>
  <c r="L59" i="60"/>
  <c r="M59" i="60"/>
  <c r="N59" i="60"/>
  <c r="O59" i="60"/>
  <c r="P59" i="60"/>
  <c r="Q59" i="60"/>
  <c r="R59" i="60"/>
  <c r="S59" i="60"/>
  <c r="T59" i="60"/>
  <c r="U59" i="60"/>
  <c r="V59" i="60"/>
  <c r="C60" i="60"/>
  <c r="D60" i="60"/>
  <c r="E60" i="60"/>
  <c r="F60" i="60"/>
  <c r="G60" i="60"/>
  <c r="H60" i="60"/>
  <c r="I60" i="60"/>
  <c r="J60" i="60"/>
  <c r="K60" i="60"/>
  <c r="L60" i="60"/>
  <c r="M60" i="60"/>
  <c r="N60" i="60"/>
  <c r="O60" i="60"/>
  <c r="P60" i="60"/>
  <c r="Q60" i="60"/>
  <c r="R60" i="60"/>
  <c r="S60" i="60"/>
  <c r="T60" i="60"/>
  <c r="U60" i="60"/>
  <c r="V60" i="60"/>
  <c r="C61" i="60"/>
  <c r="D61" i="60"/>
  <c r="E61" i="60"/>
  <c r="F61" i="60"/>
  <c r="G61" i="60"/>
  <c r="H61" i="60"/>
  <c r="I61" i="60"/>
  <c r="J61" i="60"/>
  <c r="K61" i="60"/>
  <c r="L61" i="60"/>
  <c r="M61" i="60"/>
  <c r="N61" i="60"/>
  <c r="O61" i="60"/>
  <c r="P61" i="60"/>
  <c r="Q61" i="60"/>
  <c r="R61" i="60"/>
  <c r="S61" i="60"/>
  <c r="T61" i="60"/>
  <c r="U61" i="60"/>
  <c r="V61" i="60"/>
  <c r="C63" i="60"/>
  <c r="D63" i="60"/>
  <c r="E63" i="60"/>
  <c r="F63" i="60"/>
  <c r="G63" i="60"/>
  <c r="H63" i="60"/>
  <c r="I63" i="60"/>
  <c r="J63" i="60"/>
  <c r="K63" i="60"/>
  <c r="L63" i="60"/>
  <c r="M63" i="60"/>
  <c r="N63" i="60"/>
  <c r="O63" i="60"/>
  <c r="P63" i="60"/>
  <c r="Q63" i="60"/>
  <c r="R63" i="60"/>
  <c r="S63" i="60"/>
  <c r="T63" i="60"/>
  <c r="U63" i="60"/>
  <c r="V63" i="60"/>
  <c r="C64" i="60"/>
  <c r="D64" i="60"/>
  <c r="E64" i="60"/>
  <c r="F64" i="60"/>
  <c r="G64" i="60"/>
  <c r="H64" i="60"/>
  <c r="I64" i="60"/>
  <c r="J64" i="60"/>
  <c r="K64" i="60"/>
  <c r="L64" i="60"/>
  <c r="M64" i="60"/>
  <c r="N64" i="60"/>
  <c r="O64" i="60"/>
  <c r="P64" i="60"/>
  <c r="Q64" i="60"/>
  <c r="R64" i="60"/>
  <c r="S64" i="60"/>
  <c r="T64" i="60"/>
  <c r="U64" i="60"/>
  <c r="V64" i="60"/>
  <c r="B57" i="60"/>
  <c r="B58" i="60"/>
  <c r="B59" i="60"/>
  <c r="B60" i="60"/>
  <c r="B61" i="60"/>
  <c r="B63" i="60"/>
  <c r="B64" i="60"/>
  <c r="B56" i="60"/>
  <c r="O4" i="67" l="1"/>
  <c r="N4" i="67" s="1"/>
  <c r="M4" i="67" s="1"/>
  <c r="L4" i="67" s="1"/>
  <c r="K4" i="67" s="1"/>
  <c r="J4" i="67" s="1"/>
  <c r="O4" i="53" l="1"/>
  <c r="N4" i="53" s="1"/>
  <c r="M4" i="53" s="1"/>
  <c r="L4" i="53" s="1"/>
  <c r="K4" i="53" s="1"/>
  <c r="J4" i="53" s="1"/>
  <c r="O51" i="60"/>
  <c r="N51" i="60" s="1"/>
  <c r="M51" i="60" s="1"/>
  <c r="L51" i="60" s="1"/>
  <c r="K51" i="60" s="1"/>
  <c r="J51" i="60" s="1"/>
  <c r="O4" i="60"/>
  <c r="N4" i="60" s="1"/>
  <c r="M4" i="60" s="1"/>
  <c r="L4" i="60" s="1"/>
  <c r="K4" i="60" s="1"/>
  <c r="J4" i="60" s="1"/>
  <c r="C29" i="63" l="1"/>
  <c r="D29" i="63"/>
  <c r="E29" i="63"/>
  <c r="F29" i="63"/>
  <c r="G29" i="63"/>
  <c r="H29" i="63"/>
  <c r="I29" i="63"/>
  <c r="J29" i="63"/>
  <c r="K29" i="63"/>
  <c r="L29" i="63"/>
  <c r="M29" i="63"/>
  <c r="O4" i="48"/>
  <c r="N4" i="48" s="1"/>
  <c r="M4" i="48" s="1"/>
  <c r="L4" i="48" s="1"/>
  <c r="K4" i="48" s="1"/>
  <c r="J4" i="48" s="1"/>
  <c r="O4" i="47"/>
  <c r="N4" i="47" s="1"/>
  <c r="M4" i="47" s="1"/>
  <c r="L4" i="47" s="1"/>
  <c r="K4" i="47" s="1"/>
  <c r="J4" i="47" s="1"/>
  <c r="O4" i="10"/>
  <c r="N4" i="10" s="1"/>
  <c r="M4" i="10" s="1"/>
  <c r="L4" i="10" s="1"/>
  <c r="K4" i="10" s="1"/>
  <c r="J4" i="10" s="1"/>
</calcChain>
</file>

<file path=xl/sharedStrings.xml><?xml version="1.0" encoding="utf-8"?>
<sst xmlns="http://schemas.openxmlformats.org/spreadsheetml/2006/main" count="1923" uniqueCount="323">
  <si>
    <t>비수도권에서 
수도권 전입</t>
    <phoneticPr fontId="2" type="noConversion"/>
  </si>
  <si>
    <t>수도권에서
비수도권 전출</t>
    <phoneticPr fontId="2" type="noConversion"/>
  </si>
  <si>
    <t>수도권 
순이동</t>
    <phoneticPr fontId="2" type="noConversion"/>
  </si>
  <si>
    <t>-</t>
  </si>
  <si>
    <t>-</t>
    <phoneticPr fontId="1" type="noConversion"/>
  </si>
  <si>
    <t>수도권내</t>
  </si>
  <si>
    <t xml:space="preserve"> 수도권과 비수도권간</t>
  </si>
  <si>
    <t>서울</t>
  </si>
  <si>
    <t>인천</t>
  </si>
  <si>
    <t>경기</t>
  </si>
  <si>
    <t>수도권
(계)</t>
    <phoneticPr fontId="1" type="noConversion"/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</si>
  <si>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</si>
  <si>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</si>
  <si>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</si>
  <si>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</si>
  <si>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</si>
  <si>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</si>
  <si>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</si>
  <si>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</si>
  <si>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</si>
  <si>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</si>
  <si>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</si>
  <si>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</si>
  <si>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 xml:space="preserve">     (단위 : 명)</t>
    <phoneticPr fontId="5" type="noConversion"/>
  </si>
  <si>
    <t>수도권
총전입</t>
    <phoneticPr fontId="2" type="noConversion"/>
  </si>
  <si>
    <t>수도권
총전출</t>
    <phoneticPr fontId="2" type="noConversion"/>
  </si>
  <si>
    <t>수도권내
이동</t>
    <phoneticPr fontId="2" type="noConversion"/>
  </si>
  <si>
    <t>부 산</t>
  </si>
  <si>
    <t>대 구</t>
  </si>
  <si>
    <t>광 주</t>
  </si>
  <si>
    <t>대 전</t>
  </si>
  <si>
    <t>울 산</t>
  </si>
  <si>
    <t>강 원</t>
  </si>
  <si>
    <t>충 북</t>
  </si>
  <si>
    <t>충 남</t>
  </si>
  <si>
    <t>전 북</t>
  </si>
  <si>
    <t>전 남</t>
  </si>
  <si>
    <t>경 북</t>
  </si>
  <si>
    <t>경 남</t>
  </si>
  <si>
    <t>제 주</t>
  </si>
  <si>
    <t>서울 동작구</t>
  </si>
  <si>
    <t>서울 송파구</t>
  </si>
  <si>
    <t>인천 남  구</t>
  </si>
  <si>
    <t>경기 성남시</t>
  </si>
  <si>
    <t>서울 성동구</t>
  </si>
  <si>
    <t>서울 동대문구</t>
  </si>
  <si>
    <t>경기 수원시</t>
  </si>
  <si>
    <t>서울 영등포구</t>
  </si>
  <si>
    <t>서울 성북구</t>
  </si>
  <si>
    <t>서울 강동구</t>
  </si>
  <si>
    <t>서울 노원구</t>
  </si>
  <si>
    <t>인천 남동구</t>
  </si>
  <si>
    <t>서울 은평구</t>
  </si>
  <si>
    <t>경기 광명시</t>
  </si>
  <si>
    <t>서울 서대문구</t>
  </si>
  <si>
    <t>인천 부평구</t>
  </si>
  <si>
    <t>서울 중랑구</t>
  </si>
  <si>
    <t>경기 의왕시</t>
  </si>
  <si>
    <t>서울 관악구</t>
  </si>
  <si>
    <t>경기 부천시</t>
  </si>
  <si>
    <t>서울 마포구</t>
  </si>
  <si>
    <t>경기 안산시</t>
  </si>
  <si>
    <t>서울 강남구</t>
  </si>
  <si>
    <t>서울 금천구</t>
  </si>
  <si>
    <t>경기 안양시</t>
  </si>
  <si>
    <t>서울 강북구</t>
  </si>
  <si>
    <t>경기 군포시</t>
  </si>
  <si>
    <t>인천 서구</t>
  </si>
  <si>
    <t>서울 용산구</t>
  </si>
  <si>
    <t>서울 광진구</t>
  </si>
  <si>
    <t>경기 과천시</t>
  </si>
  <si>
    <t>서울 강서구</t>
  </si>
  <si>
    <t>서울 도봉구</t>
  </si>
  <si>
    <t>서울 양천구</t>
  </si>
  <si>
    <t>인천 계양구</t>
  </si>
  <si>
    <t>서울 서초구</t>
  </si>
  <si>
    <t>경기 의정부시</t>
  </si>
  <si>
    <t>경기 용인시</t>
  </si>
  <si>
    <t>경기 화성시</t>
  </si>
  <si>
    <t>경기 남양주시</t>
  </si>
  <si>
    <t>경기 파주시</t>
  </si>
  <si>
    <t>경기 고양시</t>
  </si>
  <si>
    <t>경기 양주군</t>
  </si>
  <si>
    <t>경기 김포시</t>
  </si>
  <si>
    <t>경기 광주시</t>
  </si>
  <si>
    <t>경기 오산시</t>
  </si>
  <si>
    <t>경기 평택시</t>
  </si>
  <si>
    <t>경기 양주시</t>
  </si>
  <si>
    <t>경기 시흥시</t>
  </si>
  <si>
    <t>경기 구리시</t>
  </si>
  <si>
    <t>인천 연수구</t>
  </si>
  <si>
    <t xml:space="preserve">강원 영월군 </t>
  </si>
  <si>
    <t xml:space="preserve">강원 정선군 </t>
  </si>
  <si>
    <t xml:space="preserve">전북 정읍시 </t>
  </si>
  <si>
    <t xml:space="preserve">충남 천안시 </t>
  </si>
  <si>
    <t xml:space="preserve">충남 당진군 </t>
  </si>
  <si>
    <t xml:space="preserve">충북 청원군 </t>
  </si>
  <si>
    <t xml:space="preserve">충남 아산시 </t>
  </si>
  <si>
    <t xml:space="preserve">경북 영덕군 </t>
  </si>
  <si>
    <t xml:space="preserve">전북 부안군 </t>
  </si>
  <si>
    <t xml:space="preserve">대전 유성구 </t>
  </si>
  <si>
    <t xml:space="preserve">충남 홍성군 </t>
  </si>
  <si>
    <t xml:space="preserve">충남 연기군 </t>
  </si>
  <si>
    <t xml:space="preserve">충남 서산시 </t>
  </si>
  <si>
    <t xml:space="preserve">강원 춘천시 </t>
  </si>
  <si>
    <t xml:space="preserve">전북 장수군 </t>
  </si>
  <si>
    <t xml:space="preserve">충남 태안군 </t>
  </si>
  <si>
    <t xml:space="preserve">경남 거제시 </t>
  </si>
  <si>
    <t xml:space="preserve">강원 원주시 </t>
  </si>
  <si>
    <t xml:space="preserve">전북 진안군 </t>
  </si>
  <si>
    <t xml:space="preserve">강원 홍천군 </t>
  </si>
  <si>
    <t xml:space="preserve">충북 음성군 </t>
  </si>
  <si>
    <t xml:space="preserve">전북 임실군 </t>
  </si>
  <si>
    <t xml:space="preserve">충남 논산시 </t>
  </si>
  <si>
    <t xml:space="preserve">충북 진천군 </t>
  </si>
  <si>
    <t xml:space="preserve">강원 횡성군 </t>
  </si>
  <si>
    <t xml:space="preserve">경남 남해군 </t>
  </si>
  <si>
    <t xml:space="preserve">제주 제주시 </t>
  </si>
  <si>
    <t xml:space="preserve">전북 무주군 </t>
  </si>
  <si>
    <t xml:space="preserve">전북 남원시 </t>
  </si>
  <si>
    <t xml:space="preserve">강원 인제군 </t>
  </si>
  <si>
    <t xml:space="preserve">충북 충주시 </t>
  </si>
  <si>
    <t xml:space="preserve">광주 광산구 </t>
  </si>
  <si>
    <t xml:space="preserve">전북 고창군 </t>
  </si>
  <si>
    <t xml:space="preserve">강원 평창군 </t>
  </si>
  <si>
    <t xml:space="preserve">제주 서귀포시 </t>
  </si>
  <si>
    <t xml:space="preserve">전남 강진군 </t>
  </si>
  <si>
    <t xml:space="preserve">충북 괴산군 </t>
  </si>
  <si>
    <t xml:space="preserve">광주 북구 </t>
  </si>
  <si>
    <t xml:space="preserve">전북 전주시 </t>
  </si>
  <si>
    <t xml:space="preserve">경남 창원시 </t>
  </si>
  <si>
    <t xml:space="preserve">경북 구미시 </t>
  </si>
  <si>
    <t xml:space="preserve">경북 포항시 </t>
  </si>
  <si>
    <t xml:space="preserve">대전 서구 </t>
  </si>
  <si>
    <t xml:space="preserve">대구 달서구 </t>
  </si>
  <si>
    <t xml:space="preserve">전북 익산시 </t>
  </si>
  <si>
    <t xml:space="preserve">대구 수성구 </t>
  </si>
  <si>
    <t xml:space="preserve">전북 군산시 </t>
  </si>
  <si>
    <t xml:space="preserve">울산 남구 </t>
  </si>
  <si>
    <t xml:space="preserve">전남 여수시 </t>
  </si>
  <si>
    <t xml:space="preserve">충북 청주시 </t>
  </si>
  <si>
    <t xml:space="preserve">대구 북구 </t>
  </si>
  <si>
    <t xml:space="preserve">광주 서구 </t>
  </si>
  <si>
    <t xml:space="preserve">전남 목포시 </t>
  </si>
  <si>
    <t xml:space="preserve">광주 남구 </t>
  </si>
  <si>
    <t xml:space="preserve">강원 강릉시 </t>
  </si>
  <si>
    <t xml:space="preserve">부산 부산진구 </t>
  </si>
  <si>
    <t xml:space="preserve">부산 남구 </t>
  </si>
  <si>
    <t xml:space="preserve">부산 해운대구 </t>
  </si>
  <si>
    <t xml:space="preserve">전남 순천시 </t>
  </si>
  <si>
    <t xml:space="preserve">부산 사하구 </t>
  </si>
  <si>
    <t>-</t>
    <phoneticPr fontId="1" type="noConversion"/>
  </si>
  <si>
    <t>주) 1986년 이전에는 총전출자에 국외 등의 자료가 포함되어 시도별 합계가 일치하지 않을 수 있음</t>
    <phoneticPr fontId="1" type="noConversion"/>
  </si>
  <si>
    <t>세 종</t>
    <phoneticPr fontId="1" type="noConversion"/>
  </si>
  <si>
    <t>-</t>
    <phoneticPr fontId="1" type="noConversion"/>
  </si>
  <si>
    <t>○ 순유입</t>
    <phoneticPr fontId="1" type="noConversion"/>
  </si>
  <si>
    <t xml:space="preserve">     (단위 : 명)</t>
    <phoneticPr fontId="5" type="noConversion"/>
  </si>
  <si>
    <t>순위</t>
    <phoneticPr fontId="1" type="noConversion"/>
  </si>
  <si>
    <t>순위</t>
    <phoneticPr fontId="1" type="noConversion"/>
  </si>
  <si>
    <t>경기 하남시</t>
  </si>
  <si>
    <t>인천 남구</t>
  </si>
  <si>
    <t>인천 중구</t>
  </si>
  <si>
    <t>○ 순유출</t>
    <phoneticPr fontId="1" type="noConversion"/>
  </si>
  <si>
    <t>인천 남구</t>
    <phoneticPr fontId="1" type="noConversion"/>
  </si>
  <si>
    <t>서울 구로구</t>
  </si>
  <si>
    <t>○ 수도권으로 순유입</t>
    <phoneticPr fontId="1" type="noConversion"/>
  </si>
  <si>
    <t>○ 수도권에서 순유출</t>
    <phoneticPr fontId="1" type="noConversion"/>
  </si>
  <si>
    <t>전북 전주시</t>
  </si>
  <si>
    <t>경남 창원시</t>
  </si>
  <si>
    <t>대전 서구</t>
  </si>
  <si>
    <t>경북 구미시</t>
  </si>
  <si>
    <t>대구 수성구</t>
  </si>
  <si>
    <t>광주 북구</t>
  </si>
  <si>
    <t>경북 포항시</t>
  </si>
  <si>
    <t>전북 익산시</t>
  </si>
  <si>
    <t>대구 달서구</t>
  </si>
  <si>
    <t>부산 부산진구</t>
  </si>
  <si>
    <t xml:space="preserve">강원 동해시 </t>
  </si>
  <si>
    <t>광주 서구</t>
  </si>
  <si>
    <t>대구 북구</t>
  </si>
  <si>
    <t>충남 천안시</t>
  </si>
  <si>
    <t>제주 제주시</t>
  </si>
  <si>
    <t xml:space="preserve">충남 당진시 </t>
  </si>
  <si>
    <t>충남 아산시</t>
  </si>
  <si>
    <t>대전 유성구</t>
  </si>
  <si>
    <t xml:space="preserve">전남 나주시 </t>
  </si>
  <si>
    <t>충남 당진시</t>
  </si>
  <si>
    <t>충남 서산시</t>
  </si>
  <si>
    <t>강원 원주시</t>
  </si>
  <si>
    <t>제주 서귀포시</t>
  </si>
  <si>
    <t>충북 진천군</t>
  </si>
  <si>
    <t>경북 김천시</t>
  </si>
  <si>
    <t>충북 음성군</t>
  </si>
  <si>
    <t>전남 나주시</t>
  </si>
  <si>
    <t>경남 거제시</t>
  </si>
  <si>
    <t>울산 남구</t>
  </si>
  <si>
    <t>경남 김해시</t>
  </si>
  <si>
    <t>부산 해운대구</t>
  </si>
  <si>
    <t>광주 광산구</t>
  </si>
  <si>
    <t>강원 횡성군</t>
  </si>
  <si>
    <t>강원 양양군</t>
  </si>
  <si>
    <t>충남 태안군</t>
  </si>
  <si>
    <t>강원 평창군</t>
  </si>
  <si>
    <t>충북 괴산군</t>
  </si>
  <si>
    <t>충북 충주시</t>
  </si>
  <si>
    <t>충남 홍성군</t>
  </si>
  <si>
    <t xml:space="preserve"> </t>
    <phoneticPr fontId="1" type="noConversion"/>
  </si>
  <si>
    <t xml:space="preserve">전북 완주군 </t>
  </si>
  <si>
    <t>순위</t>
    <phoneticPr fontId="1" type="noConversion"/>
  </si>
  <si>
    <t>순위</t>
    <phoneticPr fontId="1" type="noConversion"/>
  </si>
  <si>
    <t>순위</t>
    <phoneticPr fontId="1" type="noConversion"/>
  </si>
  <si>
    <t>인천 남구</t>
    <phoneticPr fontId="1" type="noConversion"/>
  </si>
  <si>
    <t>직업</t>
  </si>
  <si>
    <t>가족</t>
  </si>
  <si>
    <t>주택</t>
  </si>
  <si>
    <t>교육</t>
  </si>
  <si>
    <t>주거환경</t>
  </si>
  <si>
    <t>자연환경</t>
  </si>
  <si>
    <t>기타</t>
  </si>
  <si>
    <t>6. 수도권 시군구 전국 순이동 상위 10위, 2001-2019</t>
    <phoneticPr fontId="5" type="noConversion"/>
  </si>
  <si>
    <t>7. 비수도권 시군구 수도권 순이동 상위 10위, 2001-2019</t>
    <phoneticPr fontId="5" type="noConversion"/>
  </si>
  <si>
    <t>`</t>
    <phoneticPr fontId="1" type="noConversion"/>
  </si>
  <si>
    <t>연도</t>
    <phoneticPr fontId="1" type="noConversion"/>
  </si>
  <si>
    <t>수 도 권</t>
    <phoneticPr fontId="1" type="noConversion"/>
  </si>
  <si>
    <t>서   울</t>
    <phoneticPr fontId="1" type="noConversion"/>
  </si>
  <si>
    <t>인   천</t>
    <phoneticPr fontId="1" type="noConversion"/>
  </si>
  <si>
    <t>경   기</t>
    <phoneticPr fontId="1" type="noConversion"/>
  </si>
  <si>
    <t xml:space="preserve">              연도
  사유</t>
    <phoneticPr fontId="1" type="noConversion"/>
  </si>
  <si>
    <t>서  울</t>
    <phoneticPr fontId="5" type="noConversion"/>
  </si>
  <si>
    <t>인  천</t>
    <phoneticPr fontId="5" type="noConversion"/>
  </si>
  <si>
    <t>경  기</t>
    <phoneticPr fontId="5" type="noConversion"/>
  </si>
  <si>
    <t>연도</t>
    <phoneticPr fontId="1" type="noConversion"/>
  </si>
  <si>
    <t>부산</t>
    <phoneticPr fontId="1" type="noConversion"/>
  </si>
  <si>
    <t>대구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</si>
  <si>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</si>
  <si>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</si>
  <si>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</si>
  <si>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</si>
  <si>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</si>
  <si>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</si>
  <si>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</si>
  <si>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</si>
  <si>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</si>
  <si>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</si>
  <si>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</si>
  <si>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</si>
  <si>
    <t>&lt; 청 년 층(19-34세) &gt;</t>
    <phoneticPr fontId="1" type="noConversion"/>
  </si>
  <si>
    <t>(남자), 2004-2024</t>
    <phoneticPr fontId="5" type="noConversion"/>
  </si>
  <si>
    <t>(여자), 2004-2024</t>
    <phoneticPr fontId="5" type="noConversion"/>
  </si>
  <si>
    <t>20대</t>
  </si>
  <si>
    <t>30대</t>
  </si>
  <si>
    <t>40대</t>
  </si>
  <si>
    <t>50대</t>
  </si>
  <si>
    <t>1인</t>
    <phoneticPr fontId="1" type="noConversion"/>
  </si>
  <si>
    <t>2인</t>
    <phoneticPr fontId="1" type="noConversion"/>
  </si>
  <si>
    <t>3인</t>
    <phoneticPr fontId="1" type="noConversion"/>
  </si>
  <si>
    <t>비수도권에서 수도권 전입</t>
    <phoneticPr fontId="1" type="noConversion"/>
  </si>
  <si>
    <t>수도권에서 비수도권 전출</t>
    <phoneticPr fontId="1" type="noConversion"/>
  </si>
  <si>
    <t>1. 수도권 인구이동, 1970-2024</t>
    <phoneticPr fontId="2" type="noConversion"/>
  </si>
  <si>
    <t>4. 성·연령별 순이동</t>
    <phoneticPr fontId="5" type="noConversion"/>
  </si>
  <si>
    <t>3. 성·연령별 순이동</t>
    <phoneticPr fontId="5" type="noConversion"/>
  </si>
  <si>
    <t>수도권내 순이동</t>
    <phoneticPr fontId="5" type="noConversion"/>
  </si>
  <si>
    <t>1인 순이동</t>
    <phoneticPr fontId="1" type="noConversion"/>
  </si>
  <si>
    <t>10대 이하</t>
    <phoneticPr fontId="1" type="noConversion"/>
  </si>
  <si>
    <t>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</si>
  <si>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</si>
  <si>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</si>
  <si>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</si>
  <si>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 이상</t>
    <phoneticPr fontId="1" type="noConversion"/>
  </si>
  <si>
    <t xml:space="preserve">            연도
  사유</t>
    <phoneticPr fontId="1" type="noConversion"/>
  </si>
  <si>
    <t>수도권 내</t>
    <phoneticPr fontId="1" type="noConversion"/>
  </si>
  <si>
    <t>비수도권에서 전입</t>
    <phoneticPr fontId="1" type="noConversion"/>
  </si>
  <si>
    <t>비수도권으로 전출</t>
    <phoneticPr fontId="1" type="noConversion"/>
  </si>
  <si>
    <t>수도권 순이동</t>
    <phoneticPr fontId="1" type="noConversion"/>
  </si>
  <si>
    <t>8. 전출 시도별 수도권 순이동, 1970-2024</t>
    <phoneticPr fontId="5" type="noConversion"/>
  </si>
  <si>
    <t>9. 전출 시도별 수도권 순이동(청년층, 중장년층), 2004-2024</t>
    <phoneticPr fontId="5" type="noConversion"/>
  </si>
  <si>
    <t>비수도권간 순이동</t>
    <phoneticPr fontId="5" type="noConversion"/>
  </si>
  <si>
    <t>10. 수도권 시도별 순이동, 1970-2024</t>
    <phoneticPr fontId="5" type="noConversion"/>
  </si>
  <si>
    <t>60세 이상</t>
  </si>
  <si>
    <t>60세 이상</t>
    <phoneticPr fontId="1" type="noConversion"/>
  </si>
  <si>
    <t>(전체), 2004-2024</t>
  </si>
  <si>
    <t xml:space="preserve">                      연도
  규모</t>
    <phoneticPr fontId="1" type="noConversion"/>
  </si>
  <si>
    <t xml:space="preserve">   연도
                       규모</t>
    <phoneticPr fontId="1" type="noConversion"/>
  </si>
  <si>
    <t xml:space="preserve">                      연도
  연령</t>
    <phoneticPr fontId="1" type="noConversion"/>
  </si>
  <si>
    <t>(단위 : 명)</t>
    <phoneticPr fontId="5" type="noConversion"/>
  </si>
  <si>
    <t xml:space="preserve">5. 이동 규모별 </t>
    <phoneticPr fontId="5" type="noConversion"/>
  </si>
  <si>
    <t>이동, 2004-2024</t>
    <phoneticPr fontId="1" type="noConversion"/>
  </si>
  <si>
    <t xml:space="preserve">5.1. 이동 규모별 </t>
    <phoneticPr fontId="1" type="noConversion"/>
  </si>
  <si>
    <t>6. 전입사유별 이동, 2013-2024</t>
    <phoneticPr fontId="5" type="noConversion"/>
  </si>
  <si>
    <t>7. 1인 이동의 연령별 전입사유별 순이동, 2013-2024</t>
    <phoneticPr fontId="5" type="noConversion"/>
  </si>
  <si>
    <t>11. 수도권 시도의 전입사유별 순이동, 2013-2024</t>
    <phoneticPr fontId="5" type="noConversion"/>
  </si>
  <si>
    <t xml:space="preserve">               연도
  사유</t>
    <phoneticPr fontId="1" type="noConversion"/>
  </si>
  <si>
    <t>순이동, 2004-2024</t>
    <phoneticPr fontId="1" type="noConversion"/>
  </si>
  <si>
    <t>서  울</t>
    <phoneticPr fontId="1" type="noConversion"/>
  </si>
  <si>
    <t>인  천</t>
    <phoneticPr fontId="1" type="noConversion"/>
  </si>
  <si>
    <t>경  기</t>
    <phoneticPr fontId="1" type="noConversion"/>
  </si>
  <si>
    <t>&lt; 중 장 년 층(40-64세) &gt;</t>
    <phoneticPr fontId="1" type="noConversion"/>
  </si>
  <si>
    <t>청년층(19-34세)</t>
    <phoneticPr fontId="1" type="noConversion"/>
  </si>
  <si>
    <t>중장년층(40-64세)</t>
    <phoneticPr fontId="1" type="noConversion"/>
  </si>
  <si>
    <t>청년층(19-34세)</t>
  </si>
  <si>
    <t>중장년층(40-64세)</t>
  </si>
  <si>
    <t xml:space="preserve">            연도
  연령</t>
    <phoneticPr fontId="1" type="noConversion"/>
  </si>
  <si>
    <t xml:space="preserve">  연도
            연령</t>
    <phoneticPr fontId="1" type="noConversion"/>
  </si>
  <si>
    <t xml:space="preserve">   연도
                      연령</t>
    <phoneticPr fontId="1" type="noConversion"/>
  </si>
  <si>
    <t>연령별 순이동, 2004-2024</t>
  </si>
  <si>
    <t xml:space="preserve">             연도
  연령</t>
    <phoneticPr fontId="1" type="noConversion"/>
  </si>
  <si>
    <t xml:space="preserve">   연도
             연령</t>
    <phoneticPr fontId="1" type="noConversion"/>
  </si>
  <si>
    <t>2인 이상</t>
    <phoneticPr fontId="1" type="noConversion"/>
  </si>
  <si>
    <t>4인 이상</t>
    <phoneticPr fontId="1" type="noConversion"/>
  </si>
  <si>
    <t>1인</t>
    <phoneticPr fontId="1" type="noConversion"/>
  </si>
  <si>
    <t>2인 이상</t>
    <phoneticPr fontId="1" type="noConversion"/>
  </si>
  <si>
    <t>합 계</t>
    <phoneticPr fontId="1" type="noConversion"/>
  </si>
  <si>
    <t>합 계</t>
    <phoneticPr fontId="1" type="noConversion"/>
  </si>
  <si>
    <t>수도권 (계)</t>
    <phoneticPr fontId="1" type="noConversion"/>
  </si>
  <si>
    <t>60세 이상</t>
    <phoneticPr fontId="1" type="noConversion"/>
  </si>
  <si>
    <t>10대 이하</t>
    <phoneticPr fontId="1" type="noConversion"/>
  </si>
  <si>
    <t>2. 성·연령별 순이동</t>
    <phoneticPr fontId="5" type="noConversion"/>
  </si>
  <si>
    <t xml:space="preserve">12. 수도권내 시도간 연령별 </t>
    <phoneticPr fontId="5" type="noConversion"/>
  </si>
  <si>
    <t>수도권 총전입</t>
    <phoneticPr fontId="1" type="noConversion"/>
  </si>
  <si>
    <t>수도권 총전출</t>
    <phoneticPr fontId="1" type="noConversion"/>
  </si>
  <si>
    <t>수도권 내 이동</t>
    <phoneticPr fontId="1" type="noConversion"/>
  </si>
  <si>
    <t>(단위 : 명)</t>
    <phoneticPr fontId="1" type="noConversion"/>
  </si>
  <si>
    <t xml:space="preserve">13. 수도권 시도의 비수도권간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</si>
</sst>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,"/>
    <numFmt numFmtId="177" formatCode="#\ ###\ ##0"/>
    <numFmt numFmtId="178" formatCode="###\ ##0"/>
    <numFmt numFmtId="179" formatCode="#\ ##0"/>
    <numFmt numFmtId="180" formatCode="#\ ###\ ##0\ "/>
    <numFmt numFmtId="181" formatCode="###\ ##0\ "/>
    <numFmt numFmtId="182" formatCode="0.0"/>
    <numFmt numFmtId="183" formatCode="#\ ##0\ ##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b/>
      <sz val="14"/>
      <name val="굴림체"/>
      <family val="3"/>
      <charset val="129"/>
    </font>
    <font>
      <sz val="8"/>
      <name val="굴림체"/>
      <family val="3"/>
      <charset val="129"/>
    </font>
    <font>
      <sz val="14"/>
      <name val="굴림체"/>
      <family val="3"/>
      <charset val="129"/>
    </font>
    <font>
      <sz val="9"/>
      <name val="굴림체"/>
      <family val="3"/>
      <charset val="129"/>
    </font>
    <font>
      <b/>
      <sz val="9"/>
      <name val="굴림체"/>
      <family val="3"/>
      <charset val="129"/>
    </font>
    <font>
      <sz val="8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4"/>
      <name val="HY신명조"/>
      <family val="1"/>
      <charset val="129"/>
    </font>
    <font>
      <b/>
      <sz val="8"/>
      <color theme="1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color rgb="FF282828"/>
      <name val="맑은 고딕"/>
      <family val="3"/>
      <charset val="129"/>
      <scheme val="minor"/>
    </font>
    <font>
      <sz val="8"/>
      <color rgb="FF282828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8"/>
      <color rgb="FF000000"/>
      <name val="굴림"/>
      <family val="3"/>
      <charset val="129"/>
    </font>
    <font>
      <shadow/>
      <sz val="8"/>
      <color rgb="FF000000"/>
      <name val="굴림"/>
      <family val="3"/>
      <charset val="129"/>
    </font>
    <font>
      <sz val="8"/>
      <color rgb="FF282828"/>
      <name val="굴림체"/>
      <family val="3"/>
      <charset val="129"/>
    </font>
    <font>
      <b/>
      <sz val="8"/>
      <color rgb="FF000000"/>
      <name val="굴림"/>
      <family val="3"/>
      <charset val="129"/>
    </font>
    <font>
      <sz val="9"/>
      <color rgb="FF000000"/>
      <name val="굴림체"/>
      <family val="3"/>
      <charset val="129"/>
    </font>
    <font>
      <sz val="9"/>
      <color rgb="FF282828"/>
      <name val="굴림체"/>
      <family val="3"/>
      <charset val="129"/>
    </font>
    <font>
      <b/>
      <sz val="9"/>
      <color rgb="FF282828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6" fillId="0" borderId="0"/>
  </cellStyleXfs>
  <cellXfs count="31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80" fontId="7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77" fontId="3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horizontal="right" vertical="top"/>
    </xf>
    <xf numFmtId="0" fontId="8" fillId="0" borderId="0" xfId="0" applyFont="1" applyAlignment="1">
      <alignment vertical="center"/>
    </xf>
    <xf numFmtId="0" fontId="9" fillId="0" borderId="0" xfId="0" applyFont="1" applyFill="1" applyBorder="1" applyAlignment="1">
      <alignment vertical="center" shrinkToFit="1"/>
    </xf>
    <xf numFmtId="0" fontId="9" fillId="0" borderId="10" xfId="0" applyFont="1" applyFill="1" applyBorder="1" applyAlignment="1">
      <alignment vertical="center" shrinkToFit="1"/>
    </xf>
    <xf numFmtId="0" fontId="9" fillId="0" borderId="11" xfId="0" applyFont="1" applyFill="1" applyBorder="1" applyAlignment="1">
      <alignment vertical="center" shrinkToFit="1"/>
    </xf>
    <xf numFmtId="0" fontId="9" fillId="0" borderId="14" xfId="0" applyFont="1" applyFill="1" applyBorder="1" applyAlignment="1">
      <alignment vertical="center" shrinkToFit="1"/>
    </xf>
    <xf numFmtId="0" fontId="9" fillId="0" borderId="22" xfId="0" applyFont="1" applyFill="1" applyBorder="1" applyAlignment="1">
      <alignment vertical="center" shrinkToFit="1"/>
    </xf>
    <xf numFmtId="0" fontId="9" fillId="0" borderId="23" xfId="0" applyFont="1" applyFill="1" applyBorder="1" applyAlignment="1">
      <alignment vertical="center" shrinkToFit="1"/>
    </xf>
    <xf numFmtId="0" fontId="9" fillId="0" borderId="27" xfId="0" applyFont="1" applyFill="1" applyBorder="1" applyAlignment="1">
      <alignment vertical="center" shrinkToFit="1"/>
    </xf>
    <xf numFmtId="0" fontId="9" fillId="0" borderId="28" xfId="0" applyFont="1" applyFill="1" applyBorder="1" applyAlignment="1">
      <alignment vertical="center" shrinkToFit="1"/>
    </xf>
    <xf numFmtId="0" fontId="9" fillId="0" borderId="26" xfId="0" applyFont="1" applyFill="1" applyBorder="1" applyAlignment="1">
      <alignment vertical="center" shrinkToFit="1"/>
    </xf>
    <xf numFmtId="179" fontId="6" fillId="0" borderId="0" xfId="0" applyNumberFormat="1" applyFont="1" applyAlignment="1">
      <alignment vertical="center"/>
    </xf>
    <xf numFmtId="179" fontId="7" fillId="0" borderId="0" xfId="0" applyNumberFormat="1" applyFont="1" applyAlignment="1">
      <alignment vertical="center"/>
    </xf>
    <xf numFmtId="179" fontId="7" fillId="0" borderId="0" xfId="0" applyNumberFormat="1" applyFont="1" applyAlignment="1">
      <alignment horizontal="right" vertical="center"/>
    </xf>
    <xf numFmtId="179" fontId="9" fillId="0" borderId="26" xfId="0" applyNumberFormat="1" applyFont="1" applyFill="1" applyBorder="1" applyAlignment="1">
      <alignment vertical="center" shrinkToFit="1"/>
    </xf>
    <xf numFmtId="179" fontId="9" fillId="0" borderId="0" xfId="0" applyNumberFormat="1" applyFont="1" applyFill="1" applyBorder="1" applyAlignment="1">
      <alignment vertical="center" shrinkToFit="1"/>
    </xf>
    <xf numFmtId="179" fontId="9" fillId="0" borderId="10" xfId="0" applyNumberFormat="1" applyFont="1" applyFill="1" applyBorder="1" applyAlignment="1">
      <alignment vertical="center" shrinkToFit="1"/>
    </xf>
    <xf numFmtId="179" fontId="9" fillId="0" borderId="29" xfId="0" applyNumberFormat="1" applyFont="1" applyFill="1" applyBorder="1" applyAlignment="1">
      <alignment vertical="center" shrinkToFit="1"/>
    </xf>
    <xf numFmtId="179" fontId="9" fillId="0" borderId="24" xfId="0" applyNumberFormat="1" applyFont="1" applyFill="1" applyBorder="1" applyAlignment="1">
      <alignment vertical="center" shrinkToFit="1"/>
    </xf>
    <xf numFmtId="179" fontId="9" fillId="0" borderId="25" xfId="0" applyNumberFormat="1" applyFont="1" applyFill="1" applyBorder="1" applyAlignment="1">
      <alignment vertical="center" shrinkToFit="1"/>
    </xf>
    <xf numFmtId="179" fontId="4" fillId="0" borderId="0" xfId="0" applyNumberFormat="1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79" fontId="9" fillId="0" borderId="7" xfId="0" applyNumberFormat="1" applyFont="1" applyFill="1" applyBorder="1" applyAlignment="1">
      <alignment vertical="center" shrinkToFit="1"/>
    </xf>
    <xf numFmtId="0" fontId="9" fillId="0" borderId="31" xfId="0" applyFont="1" applyFill="1" applyBorder="1" applyAlignment="1">
      <alignment vertical="center" shrinkToFit="1"/>
    </xf>
    <xf numFmtId="179" fontId="9" fillId="0" borderId="32" xfId="0" applyNumberFormat="1" applyFont="1" applyFill="1" applyBorder="1" applyAlignment="1">
      <alignment vertical="center" shrinkToFit="1"/>
    </xf>
    <xf numFmtId="0" fontId="9" fillId="0" borderId="7" xfId="0" applyFont="1" applyFill="1" applyBorder="1" applyAlignment="1">
      <alignment vertical="center" shrinkToFit="1"/>
    </xf>
    <xf numFmtId="0" fontId="7" fillId="0" borderId="0" xfId="0" applyFont="1" applyBorder="1" applyAlignment="1">
      <alignment horizontal="center" vertical="center"/>
    </xf>
    <xf numFmtId="179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179" fontId="7" fillId="0" borderId="0" xfId="0" applyNumberFormat="1" applyFont="1" applyBorder="1" applyAlignment="1">
      <alignment horizontal="right" vertical="center"/>
    </xf>
    <xf numFmtId="0" fontId="9" fillId="0" borderId="19" xfId="0" applyFont="1" applyFill="1" applyBorder="1" applyAlignment="1">
      <alignment vertical="center" shrinkToFit="1"/>
    </xf>
    <xf numFmtId="179" fontId="9" fillId="0" borderId="8" xfId="0" applyNumberFormat="1" applyFont="1" applyFill="1" applyBorder="1" applyAlignment="1">
      <alignment vertical="center" shrinkToFit="1"/>
    </xf>
    <xf numFmtId="0" fontId="9" fillId="0" borderId="33" xfId="0" applyFont="1" applyFill="1" applyBorder="1" applyAlignment="1">
      <alignment vertical="center" shrinkToFit="1"/>
    </xf>
    <xf numFmtId="179" fontId="9" fillId="0" borderId="34" xfId="0" applyNumberFormat="1" applyFont="1" applyFill="1" applyBorder="1" applyAlignment="1">
      <alignment vertical="center" shrinkToFit="1"/>
    </xf>
    <xf numFmtId="0" fontId="9" fillId="0" borderId="8" xfId="0" applyFont="1" applyFill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" fillId="0" borderId="0" xfId="0" applyFont="1" applyFill="1" applyBorder="1" applyAlignment="1">
      <alignment vertical="center" shrinkToFit="1"/>
    </xf>
    <xf numFmtId="178" fontId="3" fillId="0" borderId="0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>
      <alignment vertical="center"/>
    </xf>
    <xf numFmtId="0" fontId="3" fillId="0" borderId="0" xfId="1" applyFont="1" applyBorder="1">
      <alignment vertical="center"/>
    </xf>
    <xf numFmtId="178" fontId="9" fillId="0" borderId="10" xfId="1" applyNumberFormat="1" applyFont="1" applyBorder="1" applyAlignment="1">
      <alignment horizontal="right" vertical="top"/>
    </xf>
    <xf numFmtId="179" fontId="3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179" fontId="5" fillId="0" borderId="0" xfId="0" applyNumberFormat="1" applyFont="1" applyFill="1">
      <alignment vertical="center"/>
    </xf>
    <xf numFmtId="0" fontId="5" fillId="0" borderId="2" xfId="0" applyFont="1" applyFill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center" vertical="center" shrinkToFit="1"/>
    </xf>
    <xf numFmtId="3" fontId="5" fillId="0" borderId="26" xfId="0" applyNumberFormat="1" applyFont="1" applyFill="1" applyBorder="1" applyAlignment="1">
      <alignment horizontal="center" vertical="center" shrinkToFit="1"/>
    </xf>
    <xf numFmtId="0" fontId="5" fillId="0" borderId="27" xfId="0" applyFont="1" applyFill="1" applyBorder="1" applyAlignment="1">
      <alignment vertical="center" shrinkToFit="1"/>
    </xf>
    <xf numFmtId="179" fontId="5" fillId="0" borderId="29" xfId="0" applyNumberFormat="1" applyFont="1" applyFill="1" applyBorder="1" applyAlignment="1">
      <alignment vertical="center" shrinkToFit="1"/>
    </xf>
    <xf numFmtId="0" fontId="5" fillId="0" borderId="28" xfId="0" applyFont="1" applyFill="1" applyBorder="1" applyAlignment="1">
      <alignment vertical="center" shrinkToFit="1"/>
    </xf>
    <xf numFmtId="0" fontId="5" fillId="0" borderId="26" xfId="0" applyFont="1" applyFill="1" applyBorder="1" applyAlignment="1">
      <alignment vertical="center" shrinkToFit="1"/>
    </xf>
    <xf numFmtId="179" fontId="5" fillId="0" borderId="26" xfId="0" applyNumberFormat="1" applyFont="1" applyFill="1" applyBorder="1" applyAlignment="1">
      <alignment vertical="center" shrinkToFit="1"/>
    </xf>
    <xf numFmtId="3" fontId="5" fillId="0" borderId="27" xfId="0" applyNumberFormat="1" applyFont="1" applyFill="1" applyBorder="1" applyAlignment="1">
      <alignment horizontal="center" vertical="center" shrinkToFit="1"/>
    </xf>
    <xf numFmtId="3" fontId="5" fillId="0" borderId="0" xfId="0" applyNumberFormat="1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vertical="center" shrinkToFit="1"/>
    </xf>
    <xf numFmtId="179" fontId="5" fillId="0" borderId="24" xfId="0" applyNumberFormat="1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179" fontId="5" fillId="0" borderId="0" xfId="0" applyNumberFormat="1" applyFont="1" applyFill="1" applyBorder="1" applyAlignment="1">
      <alignment vertical="center" shrinkToFit="1"/>
    </xf>
    <xf numFmtId="3" fontId="5" fillId="0" borderId="11" xfId="0" applyNumberFormat="1" applyFont="1" applyFill="1" applyBorder="1" applyAlignment="1">
      <alignment horizontal="center" vertical="center" shrinkToFit="1"/>
    </xf>
    <xf numFmtId="3" fontId="5" fillId="0" borderId="7" xfId="0" applyNumberFormat="1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vertical="center" shrinkToFit="1"/>
    </xf>
    <xf numFmtId="179" fontId="5" fillId="0" borderId="32" xfId="0" applyNumberFormat="1" applyFont="1" applyFill="1" applyBorder="1" applyAlignment="1">
      <alignment vertical="center" shrinkToFit="1"/>
    </xf>
    <xf numFmtId="0" fontId="5" fillId="0" borderId="31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179" fontId="5" fillId="0" borderId="7" xfId="0" applyNumberFormat="1" applyFont="1" applyFill="1" applyBorder="1" applyAlignment="1">
      <alignment vertical="center" shrinkToFit="1"/>
    </xf>
    <xf numFmtId="3" fontId="5" fillId="0" borderId="10" xfId="0" applyNumberFormat="1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vertical="center" shrinkToFit="1"/>
    </xf>
    <xf numFmtId="179" fontId="5" fillId="0" borderId="25" xfId="0" applyNumberFormat="1" applyFont="1" applyFill="1" applyBorder="1" applyAlignment="1">
      <alignment vertical="center" shrinkToFit="1"/>
    </xf>
    <xf numFmtId="0" fontId="5" fillId="0" borderId="23" xfId="0" applyFont="1" applyFill="1" applyBorder="1" applyAlignment="1">
      <alignment vertical="center" shrinkToFit="1"/>
    </xf>
    <xf numFmtId="0" fontId="5" fillId="0" borderId="10" xfId="0" applyFont="1" applyFill="1" applyBorder="1" applyAlignment="1">
      <alignment vertical="center" shrinkToFit="1"/>
    </xf>
    <xf numFmtId="179" fontId="5" fillId="0" borderId="10" xfId="0" applyNumberFormat="1" applyFont="1" applyFill="1" applyBorder="1" applyAlignment="1">
      <alignment vertical="center" shrinkToFit="1"/>
    </xf>
    <xf numFmtId="3" fontId="5" fillId="0" borderId="14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>
      <alignment vertical="center"/>
    </xf>
    <xf numFmtId="179" fontId="5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/>
    <xf numFmtId="3" fontId="5" fillId="0" borderId="8" xfId="0" applyNumberFormat="1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 shrinkToFit="1"/>
    </xf>
    <xf numFmtId="179" fontId="5" fillId="0" borderId="0" xfId="0" applyNumberFormat="1" applyFont="1" applyFill="1" applyAlignment="1">
      <alignment vertical="center" shrinkToFit="1"/>
    </xf>
    <xf numFmtId="3" fontId="5" fillId="0" borderId="0" xfId="0" applyNumberFormat="1" applyFont="1" applyFill="1" applyAlignment="1">
      <alignment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3" fontId="5" fillId="0" borderId="0" xfId="0" applyNumberFormat="1" applyFont="1" applyFill="1" applyAlignment="1">
      <alignment horizontal="center" vertical="center" shrinkToFit="1"/>
    </xf>
    <xf numFmtId="0" fontId="3" fillId="0" borderId="0" xfId="0" applyFont="1" applyBorder="1" applyAlignment="1">
      <alignment horizontal="left"/>
    </xf>
    <xf numFmtId="178" fontId="3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3" fillId="0" borderId="0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vertical="center"/>
    </xf>
    <xf numFmtId="0" fontId="3" fillId="0" borderId="0" xfId="1" applyFont="1" applyFill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9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80" fontId="7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0" fontId="5" fillId="0" borderId="0" xfId="0" applyNumberFormat="1" applyFont="1" applyAlignment="1">
      <alignment vertical="center"/>
    </xf>
    <xf numFmtId="0" fontId="5" fillId="0" borderId="17" xfId="0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 wrapText="1"/>
    </xf>
    <xf numFmtId="176" fontId="5" fillId="0" borderId="20" xfId="0" applyNumberFormat="1" applyFont="1" applyFill="1" applyBorder="1" applyAlignment="1">
      <alignment horizontal="center" vertical="center" wrapText="1"/>
    </xf>
    <xf numFmtId="176" fontId="5" fillId="0" borderId="1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top"/>
    </xf>
    <xf numFmtId="177" fontId="5" fillId="0" borderId="0" xfId="0" applyNumberFormat="1" applyFont="1" applyBorder="1" applyAlignment="1">
      <alignment vertical="top"/>
    </xf>
    <xf numFmtId="177" fontId="5" fillId="0" borderId="0" xfId="0" applyNumberFormat="1" applyFont="1" applyFill="1" applyBorder="1" applyAlignment="1">
      <alignment vertical="top"/>
    </xf>
    <xf numFmtId="0" fontId="5" fillId="0" borderId="9" xfId="1" applyFont="1" applyFill="1" applyBorder="1" applyAlignment="1">
      <alignment horizontal="center" vertical="top"/>
    </xf>
    <xf numFmtId="177" fontId="5" fillId="0" borderId="10" xfId="1" applyNumberFormat="1" applyFont="1" applyBorder="1" applyAlignment="1">
      <alignment vertical="top"/>
    </xf>
    <xf numFmtId="0" fontId="9" fillId="0" borderId="15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178" fontId="9" fillId="0" borderId="0" xfId="0" applyNumberFormat="1" applyFont="1" applyBorder="1" applyAlignment="1">
      <alignment vertical="top"/>
    </xf>
    <xf numFmtId="181" fontId="9" fillId="0" borderId="0" xfId="0" applyNumberFormat="1" applyFont="1" applyBorder="1" applyAlignment="1">
      <alignment vertical="top"/>
    </xf>
    <xf numFmtId="178" fontId="9" fillId="0" borderId="0" xfId="0" applyNumberFormat="1" applyFont="1" applyFill="1" applyBorder="1" applyAlignment="1">
      <alignment horizontal="right" vertical="top"/>
    </xf>
    <xf numFmtId="178" fontId="9" fillId="0" borderId="0" xfId="0" applyNumberFormat="1" applyFont="1" applyFill="1" applyBorder="1" applyAlignment="1">
      <alignment vertical="top"/>
    </xf>
    <xf numFmtId="181" fontId="9" fillId="0" borderId="0" xfId="0" applyNumberFormat="1" applyFont="1" applyFill="1" applyBorder="1" applyAlignment="1">
      <alignment vertical="top"/>
    </xf>
    <xf numFmtId="0" fontId="9" fillId="0" borderId="6" xfId="0" applyFont="1" applyFill="1" applyBorder="1" applyAlignment="1">
      <alignment horizontal="center" vertical="top"/>
    </xf>
    <xf numFmtId="0" fontId="12" fillId="0" borderId="9" xfId="1" applyFont="1" applyFill="1" applyBorder="1" applyAlignment="1">
      <alignment horizontal="center" vertical="top"/>
    </xf>
    <xf numFmtId="178" fontId="12" fillId="0" borderId="10" xfId="1" applyNumberFormat="1" applyFont="1" applyFill="1" applyBorder="1" applyAlignment="1">
      <alignment vertical="top"/>
    </xf>
    <xf numFmtId="181" fontId="12" fillId="0" borderId="10" xfId="1" applyNumberFormat="1" applyFont="1" applyFill="1" applyBorder="1" applyAlignment="1">
      <alignment vertical="top"/>
    </xf>
    <xf numFmtId="0" fontId="9" fillId="0" borderId="11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  <xf numFmtId="0" fontId="9" fillId="0" borderId="37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 vertical="center" shrinkToFit="1"/>
    </xf>
    <xf numFmtId="0" fontId="9" fillId="0" borderId="9" xfId="0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2" fillId="0" borderId="6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179" fontId="9" fillId="0" borderId="10" xfId="0" applyNumberFormat="1" applyFont="1" applyBorder="1" applyAlignment="1">
      <alignment vertical="center" shrinkToFit="1"/>
    </xf>
    <xf numFmtId="0" fontId="9" fillId="0" borderId="9" xfId="0" applyFont="1" applyBorder="1" applyAlignment="1">
      <alignment horizontal="center" vertical="center" shrinkToFit="1"/>
    </xf>
    <xf numFmtId="179" fontId="9" fillId="0" borderId="0" xfId="0" applyNumberFormat="1" applyFont="1" applyAlignment="1">
      <alignment vertical="center" shrinkToFit="1"/>
    </xf>
    <xf numFmtId="0" fontId="12" fillId="0" borderId="6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wrapText="1" shrinkToFit="1"/>
    </xf>
    <xf numFmtId="0" fontId="9" fillId="0" borderId="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82" fontId="14" fillId="0" borderId="0" xfId="0" applyNumberFormat="1" applyFont="1" applyBorder="1" applyAlignment="1">
      <alignment horizontal="right" vertical="center" wrapText="1"/>
    </xf>
    <xf numFmtId="179" fontId="15" fillId="0" borderId="10" xfId="0" applyNumberFormat="1" applyFont="1" applyBorder="1" applyAlignment="1">
      <alignment horizontal="right" vertical="center" wrapText="1"/>
    </xf>
    <xf numFmtId="177" fontId="9" fillId="0" borderId="0" xfId="0" applyNumberFormat="1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shrinkToFit="1"/>
    </xf>
    <xf numFmtId="177" fontId="5" fillId="0" borderId="0" xfId="0" applyNumberFormat="1" applyFont="1">
      <alignment vertical="center"/>
    </xf>
    <xf numFmtId="0" fontId="17" fillId="0" borderId="0" xfId="0" applyFont="1" applyBorder="1" applyAlignment="1">
      <alignment horizontal="left" vertical="center" wrapText="1"/>
    </xf>
    <xf numFmtId="179" fontId="9" fillId="0" borderId="0" xfId="0" applyNumberFormat="1" applyFont="1" applyBorder="1" applyAlignment="1">
      <alignment vertical="center" shrinkToFit="1"/>
    </xf>
    <xf numFmtId="0" fontId="7" fillId="0" borderId="0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/>
    </xf>
    <xf numFmtId="0" fontId="18" fillId="0" borderId="0" xfId="0" applyFont="1" applyBorder="1">
      <alignment vertical="center"/>
    </xf>
    <xf numFmtId="0" fontId="19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 shrinkToFit="1"/>
    </xf>
    <xf numFmtId="179" fontId="19" fillId="0" borderId="0" xfId="0" applyNumberFormat="1" applyFont="1" applyBorder="1" applyAlignment="1">
      <alignment horizontal="right" vertical="center" wrapText="1"/>
    </xf>
    <xf numFmtId="179" fontId="20" fillId="0" borderId="0" xfId="0" applyNumberFormat="1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79" fontId="19" fillId="0" borderId="10" xfId="0" applyNumberFormat="1" applyFont="1" applyBorder="1" applyAlignment="1">
      <alignment horizontal="right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79" fontId="13" fillId="0" borderId="10" xfId="0" applyNumberFormat="1" applyFont="1" applyBorder="1" applyAlignment="1">
      <alignment horizontal="right" vertical="center" wrapText="1"/>
    </xf>
    <xf numFmtId="0" fontId="9" fillId="0" borderId="6" xfId="0" applyFont="1" applyFill="1" applyBorder="1" applyAlignment="1">
      <alignment horizontal="left" vertical="center" shrinkToFit="1"/>
    </xf>
    <xf numFmtId="0" fontId="9" fillId="0" borderId="46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182" fontId="21" fillId="0" borderId="10" xfId="0" applyNumberFormat="1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/>
    </xf>
    <xf numFmtId="179" fontId="21" fillId="0" borderId="10" xfId="0" applyNumberFormat="1" applyFont="1" applyBorder="1" applyAlignment="1">
      <alignment horizontal="righ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79" fontId="5" fillId="0" borderId="0" xfId="0" applyNumberFormat="1" applyFont="1" applyBorder="1" applyAlignment="1">
      <alignment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179" fontId="9" fillId="0" borderId="6" xfId="0" applyNumberFormat="1" applyFont="1" applyFill="1" applyBorder="1" applyAlignment="1">
      <alignment vertical="center" shrinkToFit="1"/>
    </xf>
    <xf numFmtId="179" fontId="9" fillId="0" borderId="9" xfId="0" applyNumberFormat="1" applyFont="1" applyFill="1" applyBorder="1" applyAlignment="1">
      <alignment vertical="center" shrinkToFit="1"/>
    </xf>
    <xf numFmtId="0" fontId="9" fillId="0" borderId="26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/>
    </xf>
    <xf numFmtId="179" fontId="5" fillId="0" borderId="0" xfId="0" applyNumberFormat="1" applyFont="1">
      <alignment vertical="center"/>
    </xf>
    <xf numFmtId="183" fontId="5" fillId="0" borderId="0" xfId="0" applyNumberFormat="1" applyFont="1">
      <alignment vertical="center"/>
    </xf>
    <xf numFmtId="179" fontId="5" fillId="0" borderId="0" xfId="0" applyNumberFormat="1" applyFont="1" applyAlignment="1">
      <alignment horizontal="right" vertical="center" wrapText="1"/>
    </xf>
    <xf numFmtId="179" fontId="5" fillId="0" borderId="0" xfId="0" applyNumberFormat="1" applyFont="1" applyBorder="1" applyAlignment="1">
      <alignment horizontal="right" vertical="center" wrapText="1"/>
    </xf>
    <xf numFmtId="0" fontId="3" fillId="0" borderId="3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177" fontId="24" fillId="0" borderId="0" xfId="0" applyNumberFormat="1" applyFont="1" applyBorder="1" applyAlignment="1">
      <alignment horizontal="right" vertical="center" wrapText="1"/>
    </xf>
    <xf numFmtId="177" fontId="24" fillId="0" borderId="6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25" fillId="0" borderId="6" xfId="0" applyFont="1" applyFill="1" applyBorder="1" applyAlignment="1">
      <alignment horizontal="center" vertical="center" wrapText="1"/>
    </xf>
    <xf numFmtId="179" fontId="24" fillId="0" borderId="0" xfId="0" applyNumberFormat="1" applyFont="1" applyBorder="1" applyAlignment="1">
      <alignment horizontal="right" vertical="center" wrapText="1"/>
    </xf>
    <xf numFmtId="0" fontId="2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40" xfId="0" applyFont="1" applyFill="1" applyBorder="1" applyAlignment="1">
      <alignment vertical="center" wrapText="1" shrinkToFit="1"/>
    </xf>
    <xf numFmtId="0" fontId="9" fillId="0" borderId="41" xfId="0" applyFont="1" applyFill="1" applyBorder="1" applyAlignment="1">
      <alignment vertical="center" shrinkToFit="1"/>
    </xf>
    <xf numFmtId="0" fontId="9" fillId="0" borderId="42" xfId="0" applyFont="1" applyFill="1" applyBorder="1" applyAlignment="1">
      <alignment vertical="center" shrinkToFit="1"/>
    </xf>
    <xf numFmtId="0" fontId="9" fillId="0" borderId="43" xfId="0" applyFont="1" applyFill="1" applyBorder="1" applyAlignment="1">
      <alignment vertical="center" wrapText="1" shrinkToFit="1"/>
    </xf>
    <xf numFmtId="0" fontId="9" fillId="0" borderId="44" xfId="0" applyFont="1" applyFill="1" applyBorder="1" applyAlignment="1">
      <alignment vertical="center" shrinkToFit="1"/>
    </xf>
    <xf numFmtId="0" fontId="9" fillId="0" borderId="45" xfId="0" applyFont="1" applyFill="1" applyBorder="1" applyAlignment="1">
      <alignment vertical="center" shrinkToFi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7" fillId="0" borderId="43" xfId="0" applyFont="1" applyBorder="1" applyAlignment="1">
      <alignment vertical="center" wrapText="1"/>
    </xf>
    <xf numFmtId="0" fontId="7" fillId="0" borderId="44" xfId="0" applyFont="1" applyBorder="1" applyAlignment="1">
      <alignment vertical="center" wrapText="1"/>
    </xf>
    <xf numFmtId="0" fontId="7" fillId="0" borderId="45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41" xfId="0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11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7" fillId="0" borderId="48" xfId="0" applyFont="1" applyBorder="1" applyAlignment="1">
      <alignment vertical="center" wrapText="1"/>
    </xf>
    <xf numFmtId="0" fontId="7" fillId="0" borderId="49" xfId="0" applyFont="1" applyBorder="1" applyAlignment="1">
      <alignment vertical="center" wrapText="1"/>
    </xf>
    <xf numFmtId="0" fontId="7" fillId="0" borderId="50" xfId="0" applyFont="1" applyBorder="1" applyAlignment="1">
      <alignment vertical="center" wrapText="1"/>
    </xf>
    <xf numFmtId="0" fontId="9" fillId="0" borderId="43" xfId="0" applyFont="1" applyBorder="1" applyAlignment="1">
      <alignment horizontal="left" vertical="center" wrapText="1" shrinkToFit="1"/>
    </xf>
    <xf numFmtId="0" fontId="9" fillId="0" borderId="44" xfId="0" applyFont="1" applyBorder="1" applyAlignment="1">
      <alignment horizontal="left" vertical="center" shrinkToFit="1"/>
    </xf>
    <xf numFmtId="0" fontId="9" fillId="0" borderId="47" xfId="0" applyFont="1" applyBorder="1" applyAlignment="1">
      <alignment horizontal="left" vertical="center" shrinkToFit="1"/>
    </xf>
    <xf numFmtId="0" fontId="9" fillId="0" borderId="43" xfId="0" applyFont="1" applyFill="1" applyBorder="1" applyAlignment="1">
      <alignment horizontal="left" vertical="center" wrapText="1" shrinkToFit="1"/>
    </xf>
    <xf numFmtId="0" fontId="9" fillId="0" borderId="44" xfId="0" applyFont="1" applyFill="1" applyBorder="1" applyAlignment="1">
      <alignment horizontal="left" vertical="center" shrinkToFit="1"/>
    </xf>
    <xf numFmtId="0" fontId="9" fillId="0" borderId="47" xfId="0" applyFont="1" applyFill="1" applyBorder="1" applyAlignment="1">
      <alignment horizontal="left" vertical="center" shrinkToFit="1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top"/>
    </xf>
    <xf numFmtId="178" fontId="12" fillId="0" borderId="0" xfId="0" applyNumberFormat="1" applyFont="1" applyBorder="1" applyAlignment="1">
      <alignment horizontal="center" vertical="top"/>
    </xf>
    <xf numFmtId="0" fontId="9" fillId="0" borderId="1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center" shrinkToFit="1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3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6" xfId="0" applyFont="1" applyFill="1" applyBorder="1" applyAlignment="1">
      <alignment horizontal="center" vertical="center" shrinkToFit="1"/>
    </xf>
    <xf numFmtId="0" fontId="9" fillId="0" borderId="16" xfId="0" applyFont="1" applyFill="1" applyBorder="1" applyAlignment="1">
      <alignment horizontal="center" vertical="center" shrinkToFit="1"/>
    </xf>
    <xf numFmtId="0" fontId="9" fillId="0" borderId="30" xfId="0" applyFont="1" applyFill="1" applyBorder="1" applyAlignment="1">
      <alignment horizontal="center" vertical="center" shrinkToFit="1"/>
    </xf>
    <xf numFmtId="0" fontId="9" fillId="0" borderId="21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</cellXfs>
  <cellStyles count="3">
    <cellStyle name="표준" xfId="0" builtinId="0"/>
    <cellStyle name="표준 2" xfId="2" xr:uid="{00000000-0005-0000-0000-000001000000}"/>
    <cellStyle name="표준 9" xfId="1" xr:uid="{00000000-0005-0000-0000-000002000000}"/>
  </cellStyles>
  <dxfs count="15"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79" formatCode="#\ 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84" formatCode="##0"/>
    </dxf>
    <dxf>
      <numFmt numFmtId="179" formatCode="#\ 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7"/>
  <sheetViews>
    <sheetView showGridLines="0" tabSelected="1" view="pageBreakPreview" zoomScale="115" zoomScaleNormal="130" zoomScaleSheetLayoutView="115" workbookViewId="0">
      <selection sqref="A1:G1"/>
    </sheetView>
  </sheetViews>
  <sheetFormatPr defaultRowHeight="14.25" customHeight="1" x14ac:dyDescent="0.3"/>
  <cols>
    <col min="1" max="7" width="11.375" style="8" customWidth="1"/>
    <col min="8" max="16384" width="9" style="8"/>
  </cols>
  <sheetData>
    <row r="1" spans="1:9" s="3" customFormat="1" ht="25.5" customHeight="1" x14ac:dyDescent="0.3">
      <c r="A1" s="272" t="s">
        <v>258</v>
      </c>
      <c r="B1" s="272"/>
      <c r="C1" s="272"/>
      <c r="D1" s="272"/>
      <c r="E1" s="272"/>
      <c r="F1" s="272"/>
      <c r="G1" s="272"/>
    </row>
    <row r="2" spans="1:9" s="4" customFormat="1" ht="12.75" customHeight="1" thickBot="1" x14ac:dyDescent="0.35">
      <c r="A2" s="124"/>
      <c r="B2" s="125"/>
      <c r="C2" s="126"/>
      <c r="D2" s="124"/>
      <c r="E2" s="124"/>
      <c r="F2" s="124"/>
      <c r="G2" s="7" t="s">
        <v>23</v>
      </c>
    </row>
    <row r="3" spans="1:9" ht="24" customHeight="1" x14ac:dyDescent="0.3">
      <c r="A3" s="127" t="s">
        <v>222</v>
      </c>
      <c r="B3" s="128" t="s">
        <v>24</v>
      </c>
      <c r="C3" s="129" t="s">
        <v>25</v>
      </c>
      <c r="D3" s="129" t="s">
        <v>26</v>
      </c>
      <c r="E3" s="129" t="s">
        <v>0</v>
      </c>
      <c r="F3" s="129" t="s">
        <v>1</v>
      </c>
      <c r="G3" s="130" t="s">
        <v>2</v>
      </c>
    </row>
    <row r="4" spans="1:9" ht="6.95" customHeight="1" x14ac:dyDescent="0.3">
      <c r="A4" s="131"/>
      <c r="B4" s="132"/>
      <c r="C4" s="133"/>
      <c r="D4" s="133"/>
      <c r="E4" s="133"/>
      <c r="F4" s="133"/>
      <c r="G4" s="133"/>
    </row>
    <row r="5" spans="1:9" ht="10.7" customHeight="1" x14ac:dyDescent="0.3">
      <c r="A5" s="134">
        <v>1970</v>
      </c>
      <c r="B5" s="135">
        <v>2194873</v>
      </c>
      <c r="C5" s="135">
        <v>1802520</v>
      </c>
      <c r="D5" s="135">
        <v>1670521</v>
      </c>
      <c r="E5" s="136">
        <v>524352</v>
      </c>
      <c r="F5" s="135">
        <v>131999</v>
      </c>
      <c r="G5" s="135">
        <v>392353</v>
      </c>
      <c r="H5" s="15"/>
      <c r="I5" s="15"/>
    </row>
    <row r="6" spans="1:9" ht="10.7" customHeight="1" x14ac:dyDescent="0.3">
      <c r="A6" s="134">
        <v>1971</v>
      </c>
      <c r="B6" s="135">
        <v>2205080</v>
      </c>
      <c r="C6" s="135">
        <v>1831114</v>
      </c>
      <c r="D6" s="135">
        <v>1667337</v>
      </c>
      <c r="E6" s="135">
        <v>537743</v>
      </c>
      <c r="F6" s="135">
        <v>163777</v>
      </c>
      <c r="G6" s="135">
        <v>373966</v>
      </c>
    </row>
    <row r="7" spans="1:9" ht="10.7" customHeight="1" x14ac:dyDescent="0.3">
      <c r="A7" s="134">
        <v>1972</v>
      </c>
      <c r="B7" s="135">
        <v>1767378</v>
      </c>
      <c r="C7" s="135">
        <v>1593504</v>
      </c>
      <c r="D7" s="135">
        <v>1405625</v>
      </c>
      <c r="E7" s="135">
        <v>361753</v>
      </c>
      <c r="F7" s="135">
        <v>187879</v>
      </c>
      <c r="G7" s="135">
        <v>173874</v>
      </c>
    </row>
    <row r="8" spans="1:9" ht="10.7" customHeight="1" x14ac:dyDescent="0.3">
      <c r="A8" s="134">
        <v>1973</v>
      </c>
      <c r="B8" s="135">
        <v>2374082</v>
      </c>
      <c r="C8" s="135">
        <v>2101694</v>
      </c>
      <c r="D8" s="135">
        <v>1880048</v>
      </c>
      <c r="E8" s="135">
        <v>494034</v>
      </c>
      <c r="F8" s="135">
        <v>221646</v>
      </c>
      <c r="G8" s="135">
        <v>272388</v>
      </c>
    </row>
    <row r="9" spans="1:9" ht="10.7" customHeight="1" x14ac:dyDescent="0.3">
      <c r="A9" s="134">
        <v>1974</v>
      </c>
      <c r="B9" s="135">
        <v>2629586</v>
      </c>
      <c r="C9" s="135">
        <v>2304257</v>
      </c>
      <c r="D9" s="135">
        <v>2077778</v>
      </c>
      <c r="E9" s="135">
        <v>551808</v>
      </c>
      <c r="F9" s="135">
        <v>226479</v>
      </c>
      <c r="G9" s="135">
        <v>325329</v>
      </c>
    </row>
    <row r="10" spans="1:9" ht="10.7" customHeight="1" x14ac:dyDescent="0.3">
      <c r="A10" s="134">
        <v>1975</v>
      </c>
      <c r="B10" s="135">
        <v>4403480</v>
      </c>
      <c r="C10" s="135">
        <v>3762351</v>
      </c>
      <c r="D10" s="135">
        <v>3356417</v>
      </c>
      <c r="E10" s="135">
        <v>1047063</v>
      </c>
      <c r="F10" s="135">
        <v>405934</v>
      </c>
      <c r="G10" s="135">
        <v>641129</v>
      </c>
    </row>
    <row r="11" spans="1:9" ht="10.7" customHeight="1" x14ac:dyDescent="0.3">
      <c r="A11" s="134">
        <v>1976</v>
      </c>
      <c r="B11" s="135">
        <v>3526546</v>
      </c>
      <c r="C11" s="135">
        <v>3141562</v>
      </c>
      <c r="D11" s="135">
        <v>2784156</v>
      </c>
      <c r="E11" s="135">
        <v>742390</v>
      </c>
      <c r="F11" s="135">
        <v>357406</v>
      </c>
      <c r="G11" s="135">
        <v>384984</v>
      </c>
    </row>
    <row r="12" spans="1:9" ht="10.7" customHeight="1" x14ac:dyDescent="0.3">
      <c r="A12" s="134">
        <v>1977</v>
      </c>
      <c r="B12" s="135">
        <v>3773422</v>
      </c>
      <c r="C12" s="135">
        <v>3431571</v>
      </c>
      <c r="D12" s="135">
        <v>3065996</v>
      </c>
      <c r="E12" s="135">
        <v>707426</v>
      </c>
      <c r="F12" s="135">
        <v>365575</v>
      </c>
      <c r="G12" s="135">
        <v>341851</v>
      </c>
    </row>
    <row r="13" spans="1:9" ht="10.7" customHeight="1" x14ac:dyDescent="0.3">
      <c r="A13" s="134">
        <v>1978</v>
      </c>
      <c r="B13" s="135">
        <v>4293318</v>
      </c>
      <c r="C13" s="135">
        <v>3846472</v>
      </c>
      <c r="D13" s="135">
        <v>3449916</v>
      </c>
      <c r="E13" s="135">
        <v>843402</v>
      </c>
      <c r="F13" s="135">
        <v>396556</v>
      </c>
      <c r="G13" s="135">
        <v>446846</v>
      </c>
    </row>
    <row r="14" spans="1:9" ht="10.7" customHeight="1" x14ac:dyDescent="0.3">
      <c r="A14" s="134">
        <v>1979</v>
      </c>
      <c r="B14" s="135">
        <v>3573854</v>
      </c>
      <c r="C14" s="135">
        <v>3227513</v>
      </c>
      <c r="D14" s="135">
        <v>2826668</v>
      </c>
      <c r="E14" s="135">
        <v>747186</v>
      </c>
      <c r="F14" s="135">
        <v>400845</v>
      </c>
      <c r="G14" s="135">
        <v>346341</v>
      </c>
    </row>
    <row r="15" spans="1:9" ht="10.7" customHeight="1" x14ac:dyDescent="0.3">
      <c r="A15" s="134"/>
      <c r="B15" s="135"/>
      <c r="C15" s="135"/>
      <c r="D15" s="135"/>
      <c r="E15" s="135"/>
      <c r="F15" s="135"/>
      <c r="G15" s="135"/>
    </row>
    <row r="16" spans="1:9" ht="10.7" customHeight="1" x14ac:dyDescent="0.3">
      <c r="A16" s="134">
        <v>1980</v>
      </c>
      <c r="B16" s="135">
        <v>3853580</v>
      </c>
      <c r="C16" s="135">
        <v>3551228</v>
      </c>
      <c r="D16" s="135">
        <v>3081926</v>
      </c>
      <c r="E16" s="135">
        <v>771654</v>
      </c>
      <c r="F16" s="135">
        <v>469302</v>
      </c>
      <c r="G16" s="135">
        <v>302352</v>
      </c>
    </row>
    <row r="17" spans="1:7" ht="10.7" customHeight="1" x14ac:dyDescent="0.3">
      <c r="A17" s="134">
        <v>1981</v>
      </c>
      <c r="B17" s="135">
        <v>3999010</v>
      </c>
      <c r="C17" s="135">
        <v>3711608</v>
      </c>
      <c r="D17" s="136">
        <v>3243370</v>
      </c>
      <c r="E17" s="135">
        <v>755640</v>
      </c>
      <c r="F17" s="135">
        <v>468238</v>
      </c>
      <c r="G17" s="135">
        <v>287402</v>
      </c>
    </row>
    <row r="18" spans="1:7" ht="10.7" customHeight="1" x14ac:dyDescent="0.3">
      <c r="A18" s="134">
        <v>1982</v>
      </c>
      <c r="B18" s="135">
        <v>4302994</v>
      </c>
      <c r="C18" s="135">
        <v>3983280</v>
      </c>
      <c r="D18" s="135">
        <v>3531404</v>
      </c>
      <c r="E18" s="135">
        <v>771590</v>
      </c>
      <c r="F18" s="135">
        <v>451876</v>
      </c>
      <c r="G18" s="135">
        <v>319714</v>
      </c>
    </row>
    <row r="19" spans="1:7" ht="10.7" customHeight="1" x14ac:dyDescent="0.3">
      <c r="A19" s="134">
        <v>1983</v>
      </c>
      <c r="B19" s="135">
        <v>5086252</v>
      </c>
      <c r="C19" s="135">
        <v>4659123</v>
      </c>
      <c r="D19" s="135">
        <v>4169474</v>
      </c>
      <c r="E19" s="135">
        <v>916778</v>
      </c>
      <c r="F19" s="135">
        <v>489649</v>
      </c>
      <c r="G19" s="135">
        <v>427129</v>
      </c>
    </row>
    <row r="20" spans="1:7" ht="10.7" customHeight="1" x14ac:dyDescent="0.3">
      <c r="A20" s="134">
        <v>1984</v>
      </c>
      <c r="B20" s="135">
        <v>4624268</v>
      </c>
      <c r="C20" s="135">
        <v>4240661</v>
      </c>
      <c r="D20" s="135">
        <v>3785633</v>
      </c>
      <c r="E20" s="135">
        <v>838635</v>
      </c>
      <c r="F20" s="135">
        <v>455028</v>
      </c>
      <c r="G20" s="135">
        <v>383607</v>
      </c>
    </row>
    <row r="21" spans="1:7" ht="10.7" customHeight="1" x14ac:dyDescent="0.3">
      <c r="A21" s="134">
        <v>1985</v>
      </c>
      <c r="B21" s="135">
        <v>4405743</v>
      </c>
      <c r="C21" s="135">
        <v>4099072</v>
      </c>
      <c r="D21" s="135">
        <v>3641048</v>
      </c>
      <c r="E21" s="135">
        <v>764695</v>
      </c>
      <c r="F21" s="135">
        <v>458024</v>
      </c>
      <c r="G21" s="135">
        <v>306671</v>
      </c>
    </row>
    <row r="22" spans="1:7" ht="10.7" customHeight="1" x14ac:dyDescent="0.3">
      <c r="A22" s="134">
        <v>1986</v>
      </c>
      <c r="B22" s="135">
        <v>4363428</v>
      </c>
      <c r="C22" s="135">
        <v>4081975</v>
      </c>
      <c r="D22" s="135">
        <v>3620075</v>
      </c>
      <c r="E22" s="135">
        <v>743353</v>
      </c>
      <c r="F22" s="135">
        <v>461900</v>
      </c>
      <c r="G22" s="135">
        <v>281453</v>
      </c>
    </row>
    <row r="23" spans="1:7" ht="10.7" customHeight="1" x14ac:dyDescent="0.3">
      <c r="A23" s="134">
        <v>1987</v>
      </c>
      <c r="B23" s="135">
        <v>4676857</v>
      </c>
      <c r="C23" s="135">
        <v>4355822</v>
      </c>
      <c r="D23" s="135">
        <v>3871746</v>
      </c>
      <c r="E23" s="135">
        <v>805111</v>
      </c>
      <c r="F23" s="135">
        <v>484076</v>
      </c>
      <c r="G23" s="135">
        <v>321035</v>
      </c>
    </row>
    <row r="24" spans="1:7" ht="10.7" customHeight="1" x14ac:dyDescent="0.3">
      <c r="A24" s="134">
        <v>1988</v>
      </c>
      <c r="B24" s="135">
        <v>5315638</v>
      </c>
      <c r="C24" s="135">
        <v>5001276</v>
      </c>
      <c r="D24" s="135">
        <v>4520615</v>
      </c>
      <c r="E24" s="135">
        <v>795023</v>
      </c>
      <c r="F24" s="135">
        <v>480661</v>
      </c>
      <c r="G24" s="135">
        <v>314362</v>
      </c>
    </row>
    <row r="25" spans="1:7" ht="10.7" customHeight="1" x14ac:dyDescent="0.3">
      <c r="A25" s="134">
        <v>1989</v>
      </c>
      <c r="B25" s="135">
        <v>4968854</v>
      </c>
      <c r="C25" s="135">
        <v>4641612</v>
      </c>
      <c r="D25" s="135">
        <v>4190916</v>
      </c>
      <c r="E25" s="135">
        <v>777938</v>
      </c>
      <c r="F25" s="135">
        <v>450696</v>
      </c>
      <c r="G25" s="135">
        <v>327242</v>
      </c>
    </row>
    <row r="26" spans="1:7" ht="10.7" customHeight="1" x14ac:dyDescent="0.3">
      <c r="A26" s="134"/>
      <c r="B26" s="135"/>
      <c r="C26" s="135"/>
      <c r="D26" s="135"/>
      <c r="E26" s="135"/>
      <c r="F26" s="135"/>
      <c r="G26" s="135"/>
    </row>
    <row r="27" spans="1:7" ht="10.7" customHeight="1" x14ac:dyDescent="0.3">
      <c r="A27" s="134">
        <v>1990</v>
      </c>
      <c r="B27" s="135">
        <v>4904288</v>
      </c>
      <c r="C27" s="135">
        <v>4628084</v>
      </c>
      <c r="D27" s="135">
        <v>4156355</v>
      </c>
      <c r="E27" s="135">
        <v>747933</v>
      </c>
      <c r="F27" s="135">
        <v>471729</v>
      </c>
      <c r="G27" s="135">
        <v>276204</v>
      </c>
    </row>
    <row r="28" spans="1:7" ht="10.7" customHeight="1" x14ac:dyDescent="0.3">
      <c r="A28" s="134">
        <v>1991</v>
      </c>
      <c r="B28" s="135">
        <v>4413115</v>
      </c>
      <c r="C28" s="135">
        <v>4192534</v>
      </c>
      <c r="D28" s="135">
        <v>3742896</v>
      </c>
      <c r="E28" s="135">
        <v>670219</v>
      </c>
      <c r="F28" s="135">
        <v>449638</v>
      </c>
      <c r="G28" s="135">
        <v>220581</v>
      </c>
    </row>
    <row r="29" spans="1:7" ht="10.7" customHeight="1" x14ac:dyDescent="0.3">
      <c r="A29" s="134">
        <v>1992</v>
      </c>
      <c r="B29" s="135">
        <v>4469786</v>
      </c>
      <c r="C29" s="135">
        <v>4300418</v>
      </c>
      <c r="D29" s="135">
        <v>3856503</v>
      </c>
      <c r="E29" s="135">
        <v>613283</v>
      </c>
      <c r="F29" s="135">
        <v>443915</v>
      </c>
      <c r="G29" s="135">
        <v>169368</v>
      </c>
    </row>
    <row r="30" spans="1:7" ht="10.7" customHeight="1" x14ac:dyDescent="0.3">
      <c r="A30" s="134">
        <v>1993</v>
      </c>
      <c r="B30" s="135">
        <v>4476761</v>
      </c>
      <c r="C30" s="135">
        <v>4325232</v>
      </c>
      <c r="D30" s="135">
        <v>3890303</v>
      </c>
      <c r="E30" s="135">
        <v>586458</v>
      </c>
      <c r="F30" s="135">
        <v>434929</v>
      </c>
      <c r="G30" s="135">
        <v>151529</v>
      </c>
    </row>
    <row r="31" spans="1:7" ht="10.7" customHeight="1" x14ac:dyDescent="0.3">
      <c r="A31" s="134">
        <v>1994</v>
      </c>
      <c r="B31" s="135">
        <v>4554554</v>
      </c>
      <c r="C31" s="135">
        <v>4432113</v>
      </c>
      <c r="D31" s="135">
        <v>4030986</v>
      </c>
      <c r="E31" s="135">
        <v>523568</v>
      </c>
      <c r="F31" s="135">
        <v>401127</v>
      </c>
      <c r="G31" s="135">
        <v>122441</v>
      </c>
    </row>
    <row r="32" spans="1:7" ht="10.7" customHeight="1" x14ac:dyDescent="0.3">
      <c r="A32" s="134">
        <v>1995</v>
      </c>
      <c r="B32" s="135">
        <v>4599236</v>
      </c>
      <c r="C32" s="135">
        <v>4530064</v>
      </c>
      <c r="D32" s="135">
        <v>4083553</v>
      </c>
      <c r="E32" s="135">
        <v>515683</v>
      </c>
      <c r="F32" s="135">
        <v>446511</v>
      </c>
      <c r="G32" s="135">
        <v>69172</v>
      </c>
    </row>
    <row r="33" spans="1:7" ht="10.7" customHeight="1" x14ac:dyDescent="0.3">
      <c r="A33" s="134">
        <v>1996</v>
      </c>
      <c r="B33" s="135">
        <v>4547723</v>
      </c>
      <c r="C33" s="135">
        <v>4493953</v>
      </c>
      <c r="D33" s="135">
        <v>4031079</v>
      </c>
      <c r="E33" s="135">
        <v>516644</v>
      </c>
      <c r="F33" s="135">
        <v>462874</v>
      </c>
      <c r="G33" s="135">
        <v>53770</v>
      </c>
    </row>
    <row r="34" spans="1:7" ht="10.7" customHeight="1" x14ac:dyDescent="0.3">
      <c r="A34" s="134">
        <v>1997</v>
      </c>
      <c r="B34" s="135">
        <v>4538102</v>
      </c>
      <c r="C34" s="135">
        <v>4475633</v>
      </c>
      <c r="D34" s="135">
        <v>4019357</v>
      </c>
      <c r="E34" s="135">
        <v>518745</v>
      </c>
      <c r="F34" s="135">
        <v>456276</v>
      </c>
      <c r="G34" s="135">
        <v>62469</v>
      </c>
    </row>
    <row r="35" spans="1:7" ht="10.7" customHeight="1" x14ac:dyDescent="0.3">
      <c r="A35" s="134">
        <v>1998</v>
      </c>
      <c r="B35" s="135">
        <v>3958049</v>
      </c>
      <c r="C35" s="135">
        <v>3948763</v>
      </c>
      <c r="D35" s="135">
        <v>3478061</v>
      </c>
      <c r="E35" s="135">
        <v>479988</v>
      </c>
      <c r="F35" s="135">
        <v>470702</v>
      </c>
      <c r="G35" s="135">
        <v>9286</v>
      </c>
    </row>
    <row r="36" spans="1:7" ht="10.7" customHeight="1" x14ac:dyDescent="0.3">
      <c r="A36" s="134">
        <v>1999</v>
      </c>
      <c r="B36" s="135">
        <v>4912035</v>
      </c>
      <c r="C36" s="135">
        <v>4817213</v>
      </c>
      <c r="D36" s="135">
        <v>4327056</v>
      </c>
      <c r="E36" s="135">
        <v>584979</v>
      </c>
      <c r="F36" s="135">
        <v>490157</v>
      </c>
      <c r="G36" s="135">
        <v>94822</v>
      </c>
    </row>
    <row r="37" spans="1:7" ht="10.7" customHeight="1" x14ac:dyDescent="0.3">
      <c r="A37" s="134"/>
      <c r="B37" s="135"/>
      <c r="C37" s="135"/>
      <c r="D37" s="135"/>
      <c r="E37" s="135"/>
      <c r="F37" s="135"/>
      <c r="G37" s="135"/>
    </row>
    <row r="38" spans="1:7" ht="10.7" customHeight="1" x14ac:dyDescent="0.3">
      <c r="A38" s="134">
        <v>2000</v>
      </c>
      <c r="B38" s="135">
        <v>4793052</v>
      </c>
      <c r="C38" s="135">
        <v>4642800</v>
      </c>
      <c r="D38" s="135">
        <v>4206689</v>
      </c>
      <c r="E38" s="135">
        <v>586363</v>
      </c>
      <c r="F38" s="135">
        <v>436111</v>
      </c>
      <c r="G38" s="135">
        <v>150252</v>
      </c>
    </row>
    <row r="39" spans="1:7" ht="10.7" customHeight="1" x14ac:dyDescent="0.3">
      <c r="A39" s="134">
        <v>2001</v>
      </c>
      <c r="B39" s="135">
        <v>5078729</v>
      </c>
      <c r="C39" s="135">
        <v>4942614</v>
      </c>
      <c r="D39" s="135">
        <v>4492857</v>
      </c>
      <c r="E39" s="135">
        <v>585872</v>
      </c>
      <c r="F39" s="135">
        <v>449757</v>
      </c>
      <c r="G39" s="135">
        <v>136115</v>
      </c>
    </row>
    <row r="40" spans="1:7" ht="10.7" customHeight="1" x14ac:dyDescent="0.3">
      <c r="A40" s="134">
        <v>2002</v>
      </c>
      <c r="B40" s="135">
        <v>5308285</v>
      </c>
      <c r="C40" s="135">
        <v>5098694</v>
      </c>
      <c r="D40" s="135">
        <v>4682850</v>
      </c>
      <c r="E40" s="135">
        <v>625435</v>
      </c>
      <c r="F40" s="135">
        <v>415844</v>
      </c>
      <c r="G40" s="135">
        <v>209591</v>
      </c>
    </row>
    <row r="41" spans="1:7" ht="10.7" customHeight="1" x14ac:dyDescent="0.3">
      <c r="A41" s="134">
        <v>2003</v>
      </c>
      <c r="B41" s="135">
        <v>5057605</v>
      </c>
      <c r="C41" s="135">
        <v>4920701</v>
      </c>
      <c r="D41" s="135">
        <v>4447033</v>
      </c>
      <c r="E41" s="135">
        <v>610572</v>
      </c>
      <c r="F41" s="135">
        <v>473668</v>
      </c>
      <c r="G41" s="135">
        <v>136904</v>
      </c>
    </row>
    <row r="42" spans="1:7" ht="10.7" customHeight="1" x14ac:dyDescent="0.3">
      <c r="A42" s="134">
        <v>2004</v>
      </c>
      <c r="B42" s="135">
        <v>4468290</v>
      </c>
      <c r="C42" s="135">
        <v>4327954</v>
      </c>
      <c r="D42" s="135">
        <v>3879768</v>
      </c>
      <c r="E42" s="135">
        <v>588522</v>
      </c>
      <c r="F42" s="135">
        <v>448186</v>
      </c>
      <c r="G42" s="135">
        <v>140336</v>
      </c>
    </row>
    <row r="43" spans="1:7" ht="10.7" customHeight="1" x14ac:dyDescent="0.3">
      <c r="A43" s="134">
        <v>2005</v>
      </c>
      <c r="B43" s="135">
        <v>4690238</v>
      </c>
      <c r="C43" s="135">
        <v>4561429</v>
      </c>
      <c r="D43" s="135">
        <v>4115717</v>
      </c>
      <c r="E43" s="135">
        <v>574521</v>
      </c>
      <c r="F43" s="135">
        <v>445712</v>
      </c>
      <c r="G43" s="135">
        <v>128809</v>
      </c>
    </row>
    <row r="44" spans="1:7" ht="10.7" customHeight="1" x14ac:dyDescent="0.3">
      <c r="A44" s="134">
        <v>2006</v>
      </c>
      <c r="B44" s="135">
        <v>5157005</v>
      </c>
      <c r="C44" s="135">
        <v>5045305</v>
      </c>
      <c r="D44" s="135">
        <v>4570565</v>
      </c>
      <c r="E44" s="135">
        <v>586440</v>
      </c>
      <c r="F44" s="135">
        <v>474740</v>
      </c>
      <c r="G44" s="135">
        <v>111700</v>
      </c>
    </row>
    <row r="45" spans="1:7" ht="10.7" customHeight="1" x14ac:dyDescent="0.3">
      <c r="A45" s="134">
        <v>2007</v>
      </c>
      <c r="B45" s="135">
        <v>4961621</v>
      </c>
      <c r="C45" s="135">
        <v>4878683</v>
      </c>
      <c r="D45" s="135">
        <v>4383091</v>
      </c>
      <c r="E45" s="135">
        <v>578530</v>
      </c>
      <c r="F45" s="135">
        <v>495592</v>
      </c>
      <c r="G45" s="135">
        <v>82938</v>
      </c>
    </row>
    <row r="46" spans="1:7" ht="10.7" customHeight="1" x14ac:dyDescent="0.3">
      <c r="A46" s="134">
        <v>2008</v>
      </c>
      <c r="B46" s="135">
        <v>4786528</v>
      </c>
      <c r="C46" s="135">
        <v>4734506</v>
      </c>
      <c r="D46" s="135">
        <v>4250341</v>
      </c>
      <c r="E46" s="135">
        <v>536187</v>
      </c>
      <c r="F46" s="135">
        <v>484165</v>
      </c>
      <c r="G46" s="135">
        <v>52022</v>
      </c>
    </row>
    <row r="47" spans="1:7" ht="10.7" customHeight="1" x14ac:dyDescent="0.3">
      <c r="A47" s="134">
        <v>2009</v>
      </c>
      <c r="B47" s="135">
        <v>4527038</v>
      </c>
      <c r="C47" s="135">
        <v>4483051</v>
      </c>
      <c r="D47" s="135">
        <v>4002038</v>
      </c>
      <c r="E47" s="135">
        <v>525000</v>
      </c>
      <c r="F47" s="135">
        <v>481013</v>
      </c>
      <c r="G47" s="135">
        <v>43987</v>
      </c>
    </row>
    <row r="48" spans="1:7" ht="10.7" customHeight="1" x14ac:dyDescent="0.3">
      <c r="A48" s="134"/>
      <c r="B48" s="135"/>
      <c r="C48" s="135"/>
      <c r="D48" s="135"/>
      <c r="E48" s="135"/>
      <c r="F48" s="135"/>
      <c r="G48" s="135"/>
    </row>
    <row r="49" spans="1:8" ht="10.7" customHeight="1" x14ac:dyDescent="0.3">
      <c r="A49" s="134">
        <v>2010</v>
      </c>
      <c r="B49" s="135">
        <v>4363886</v>
      </c>
      <c r="C49" s="135">
        <v>4332860</v>
      </c>
      <c r="D49" s="135">
        <v>3856337</v>
      </c>
      <c r="E49" s="135">
        <v>507549</v>
      </c>
      <c r="F49" s="135">
        <v>476523</v>
      </c>
      <c r="G49" s="135">
        <v>31026</v>
      </c>
    </row>
    <row r="50" spans="1:8" ht="10.7" customHeight="1" x14ac:dyDescent="0.3">
      <c r="A50" s="134">
        <v>2011</v>
      </c>
      <c r="B50" s="135">
        <v>4283737</v>
      </c>
      <c r="C50" s="135">
        <v>4292187</v>
      </c>
      <c r="D50" s="135">
        <v>3803252</v>
      </c>
      <c r="E50" s="135">
        <v>480485</v>
      </c>
      <c r="F50" s="135">
        <v>488935</v>
      </c>
      <c r="G50" s="135">
        <v>-8450</v>
      </c>
    </row>
    <row r="51" spans="1:8" s="57" customFormat="1" ht="10.7" customHeight="1" x14ac:dyDescent="0.3">
      <c r="A51" s="134">
        <v>2012</v>
      </c>
      <c r="B51" s="135">
        <v>3968909</v>
      </c>
      <c r="C51" s="135">
        <v>3962009</v>
      </c>
      <c r="D51" s="135">
        <v>3493867</v>
      </c>
      <c r="E51" s="135">
        <v>475042</v>
      </c>
      <c r="F51" s="135">
        <v>468142</v>
      </c>
      <c r="G51" s="135">
        <v>6900</v>
      </c>
    </row>
    <row r="52" spans="1:8" s="57" customFormat="1" ht="10.7" customHeight="1" x14ac:dyDescent="0.3">
      <c r="A52" s="134">
        <v>2013</v>
      </c>
      <c r="B52" s="135">
        <v>3877137</v>
      </c>
      <c r="C52" s="135">
        <v>3881521</v>
      </c>
      <c r="D52" s="135">
        <v>3430465</v>
      </c>
      <c r="E52" s="135">
        <v>446672</v>
      </c>
      <c r="F52" s="135">
        <v>451056</v>
      </c>
      <c r="G52" s="135">
        <v>-4384</v>
      </c>
    </row>
    <row r="53" spans="1:8" s="57" customFormat="1" ht="10.7" customHeight="1" x14ac:dyDescent="0.3">
      <c r="A53" s="134">
        <v>2014</v>
      </c>
      <c r="B53" s="135">
        <v>3917666</v>
      </c>
      <c r="C53" s="135">
        <v>3938777</v>
      </c>
      <c r="D53" s="135">
        <v>3466005</v>
      </c>
      <c r="E53" s="135">
        <v>451661</v>
      </c>
      <c r="F53" s="135">
        <v>472772</v>
      </c>
      <c r="G53" s="135">
        <v>-21111</v>
      </c>
    </row>
    <row r="54" spans="1:8" s="57" customFormat="1" ht="10.7" customHeight="1" x14ac:dyDescent="0.3">
      <c r="A54" s="134">
        <v>2015</v>
      </c>
      <c r="B54" s="135">
        <v>4055734</v>
      </c>
      <c r="C54" s="135">
        <v>4088684</v>
      </c>
      <c r="D54" s="135">
        <v>3605660</v>
      </c>
      <c r="E54" s="135">
        <v>450074</v>
      </c>
      <c r="F54" s="135">
        <v>483024</v>
      </c>
      <c r="G54" s="135">
        <v>-32950</v>
      </c>
    </row>
    <row r="55" spans="1:8" s="57" customFormat="1" ht="10.7" customHeight="1" x14ac:dyDescent="0.3">
      <c r="A55" s="134">
        <v>2016</v>
      </c>
      <c r="B55" s="135">
        <v>3915841</v>
      </c>
      <c r="C55" s="135">
        <v>3916704</v>
      </c>
      <c r="D55" s="135">
        <v>3467775</v>
      </c>
      <c r="E55" s="135">
        <v>448066</v>
      </c>
      <c r="F55" s="135">
        <v>448929</v>
      </c>
      <c r="G55" s="135">
        <v>-863</v>
      </c>
    </row>
    <row r="56" spans="1:8" s="57" customFormat="1" ht="10.7" customHeight="1" x14ac:dyDescent="0.3">
      <c r="A56" s="134">
        <v>2017</v>
      </c>
      <c r="B56" s="135">
        <v>3770726</v>
      </c>
      <c r="C56" s="135">
        <v>3754720</v>
      </c>
      <c r="D56" s="135">
        <v>3323917</v>
      </c>
      <c r="E56" s="135">
        <v>446809</v>
      </c>
      <c r="F56" s="135">
        <v>430803</v>
      </c>
      <c r="G56" s="135">
        <v>16006</v>
      </c>
    </row>
    <row r="57" spans="1:8" s="57" customFormat="1" ht="10.7" customHeight="1" x14ac:dyDescent="0.3">
      <c r="A57" s="134">
        <v>2018</v>
      </c>
      <c r="B57" s="135">
        <v>3915061</v>
      </c>
      <c r="C57" s="135">
        <v>3855264</v>
      </c>
      <c r="D57" s="135">
        <v>3445111</v>
      </c>
      <c r="E57" s="135">
        <v>469950</v>
      </c>
      <c r="F57" s="135">
        <v>410153</v>
      </c>
      <c r="G57" s="135">
        <v>59797</v>
      </c>
    </row>
    <row r="58" spans="1:8" s="57" customFormat="1" ht="10.7" customHeight="1" x14ac:dyDescent="0.3">
      <c r="A58" s="134">
        <v>2019</v>
      </c>
      <c r="B58" s="135">
        <v>3787469</v>
      </c>
      <c r="C58" s="135">
        <v>3704728</v>
      </c>
      <c r="D58" s="135">
        <v>3311920</v>
      </c>
      <c r="E58" s="135">
        <v>475549</v>
      </c>
      <c r="F58" s="135">
        <v>392808</v>
      </c>
      <c r="G58" s="135">
        <v>82741</v>
      </c>
    </row>
    <row r="59" spans="1:8" s="57" customFormat="1" ht="10.7" customHeight="1" x14ac:dyDescent="0.3">
      <c r="A59" s="134"/>
      <c r="B59" s="135"/>
      <c r="C59" s="135"/>
      <c r="D59" s="135"/>
      <c r="E59" s="135"/>
      <c r="F59" s="135"/>
      <c r="G59" s="135"/>
    </row>
    <row r="60" spans="1:8" s="111" customFormat="1" ht="10.7" customHeight="1" x14ac:dyDescent="0.3">
      <c r="A60" s="134">
        <v>2020</v>
      </c>
      <c r="B60" s="136">
        <v>4175255</v>
      </c>
      <c r="C60" s="136">
        <v>4087480</v>
      </c>
      <c r="D60" s="136">
        <v>3680532</v>
      </c>
      <c r="E60" s="136">
        <v>494723</v>
      </c>
      <c r="F60" s="136">
        <v>406948</v>
      </c>
      <c r="G60" s="136">
        <v>87775</v>
      </c>
      <c r="H60" s="113"/>
    </row>
    <row r="61" spans="1:8" s="111" customFormat="1" ht="10.7" customHeight="1" x14ac:dyDescent="0.3">
      <c r="A61" s="134">
        <v>2021</v>
      </c>
      <c r="B61" s="136">
        <v>3887539</v>
      </c>
      <c r="C61" s="136">
        <v>3831842</v>
      </c>
      <c r="D61" s="136">
        <v>3416908</v>
      </c>
      <c r="E61" s="136">
        <v>470631</v>
      </c>
      <c r="F61" s="136">
        <v>414934</v>
      </c>
      <c r="G61" s="136">
        <v>55697</v>
      </c>
    </row>
    <row r="62" spans="1:8" s="111" customFormat="1" ht="10.7" customHeight="1" x14ac:dyDescent="0.3">
      <c r="A62" s="134">
        <v>2022</v>
      </c>
      <c r="B62" s="136">
        <v>3242657</v>
      </c>
      <c r="C62" s="136">
        <v>3206014</v>
      </c>
      <c r="D62" s="136">
        <v>2819937</v>
      </c>
      <c r="E62" s="136">
        <v>422720</v>
      </c>
      <c r="F62" s="136">
        <v>386077</v>
      </c>
      <c r="G62" s="136">
        <v>36643</v>
      </c>
    </row>
    <row r="63" spans="1:8" s="111" customFormat="1" ht="10.7" customHeight="1" x14ac:dyDescent="0.3">
      <c r="A63" s="134">
        <v>2023</v>
      </c>
      <c r="B63" s="136">
        <v>3312273</v>
      </c>
      <c r="C63" s="136">
        <v>3265404</v>
      </c>
      <c r="D63" s="136">
        <v>2897328</v>
      </c>
      <c r="E63" s="136">
        <v>414945</v>
      </c>
      <c r="F63" s="136">
        <v>368076</v>
      </c>
      <c r="G63" s="136">
        <v>46869</v>
      </c>
    </row>
    <row r="64" spans="1:8" s="111" customFormat="1" ht="10.7" customHeight="1" x14ac:dyDescent="0.3">
      <c r="A64" s="134">
        <v>2024</v>
      </c>
      <c r="B64" s="136">
        <v>3345485</v>
      </c>
      <c r="C64" s="136">
        <v>3300316</v>
      </c>
      <c r="D64" s="136">
        <v>2927466</v>
      </c>
      <c r="E64" s="136">
        <v>418019</v>
      </c>
      <c r="F64" s="136">
        <v>372850</v>
      </c>
      <c r="G64" s="136">
        <v>45169</v>
      </c>
    </row>
    <row r="65" spans="1:8" s="57" customFormat="1" ht="6.95" customHeight="1" thickBot="1" x14ac:dyDescent="0.35">
      <c r="A65" s="137"/>
      <c r="B65" s="138"/>
      <c r="C65" s="138"/>
      <c r="D65" s="138"/>
      <c r="E65" s="138"/>
      <c r="F65" s="138"/>
      <c r="G65" s="138"/>
      <c r="H65" s="111"/>
    </row>
    <row r="77" spans="1:8" ht="14.25" customHeight="1" x14ac:dyDescent="0.3">
      <c r="E77" s="8" t="s">
        <v>221</v>
      </c>
    </row>
  </sheetData>
  <mergeCells count="1">
    <mergeCell ref="A1:G1"/>
  </mergeCells>
  <phoneticPr fontId="1" type="noConversion"/>
  <conditionalFormatting sqref="B5:G64">
    <cfRule type="cellIs" dxfId="14" priority="1" operator="between">
      <formula>-1000</formula>
      <formula>-999999</formula>
    </cfRule>
    <cfRule type="cellIs" dxfId="13" priority="2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"/>
  <sheetViews>
    <sheetView showGridLines="0" view="pageBreakPreview" zoomScale="115" zoomScaleNormal="70" zoomScaleSheetLayoutView="115" workbookViewId="0">
      <selection sqref="A1:K1"/>
    </sheetView>
  </sheetViews>
  <sheetFormatPr defaultColWidth="7.375" defaultRowHeight="12.75" customHeight="1" x14ac:dyDescent="0.3"/>
  <cols>
    <col min="1" max="1" width="13.125" style="54" customWidth="1"/>
    <col min="2" max="11" width="8.375" style="10" customWidth="1"/>
    <col min="12" max="16" width="7.625" style="10" customWidth="1"/>
    <col min="17" max="22" width="7.625" style="54" customWidth="1"/>
    <col min="23" max="23" width="13.125" style="54" customWidth="1"/>
    <col min="24" max="16384" width="7.375" style="10"/>
  </cols>
  <sheetData>
    <row r="1" spans="1:23" s="3" customFormat="1" ht="25.5" customHeight="1" x14ac:dyDescent="0.3">
      <c r="A1" s="279" t="s">
        <v>316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80" t="s">
        <v>280</v>
      </c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</row>
    <row r="2" spans="1:23" s="4" customFormat="1" ht="12.75" customHeight="1" thickBot="1" x14ac:dyDescent="0.35">
      <c r="A2" s="7"/>
      <c r="I2" s="14"/>
      <c r="Q2" s="53"/>
      <c r="R2" s="53"/>
      <c r="S2" s="53"/>
      <c r="T2" s="53"/>
      <c r="U2" s="53"/>
      <c r="V2" s="53"/>
      <c r="W2" s="7" t="s">
        <v>23</v>
      </c>
    </row>
    <row r="3" spans="1:23" s="11" customFormat="1" ht="10.7" customHeight="1" x14ac:dyDescent="0.3">
      <c r="A3" s="276" t="s">
        <v>301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2"/>
      <c r="U3" s="163"/>
      <c r="V3" s="162"/>
      <c r="W3" s="273" t="s">
        <v>302</v>
      </c>
    </row>
    <row r="4" spans="1:23" s="64" customFormat="1" ht="10.7" customHeight="1" x14ac:dyDescent="0.3">
      <c r="A4" s="277"/>
      <c r="B4" s="164">
        <v>2004</v>
      </c>
      <c r="C4" s="164">
        <v>2005</v>
      </c>
      <c r="D4" s="164">
        <v>2006</v>
      </c>
      <c r="E4" s="164">
        <v>2007</v>
      </c>
      <c r="F4" s="164">
        <v>2008</v>
      </c>
      <c r="G4" s="164">
        <v>2009</v>
      </c>
      <c r="H4" s="164">
        <v>2010</v>
      </c>
      <c r="I4" s="164">
        <v>2011</v>
      </c>
      <c r="J4" s="164">
        <f t="shared" ref="J4" si="0">K4-1</f>
        <v>2012</v>
      </c>
      <c r="K4" s="164">
        <f t="shared" ref="K4" si="1">L4-1</f>
        <v>2013</v>
      </c>
      <c r="L4" s="164">
        <f t="shared" ref="L4" si="2">M4-1</f>
        <v>2014</v>
      </c>
      <c r="M4" s="164">
        <f t="shared" ref="M4" si="3">N4-1</f>
        <v>2015</v>
      </c>
      <c r="N4" s="164">
        <f t="shared" ref="N4" si="4">O4-1</f>
        <v>2016</v>
      </c>
      <c r="O4" s="164">
        <f t="shared" ref="O4" si="5">P4-1</f>
        <v>2017</v>
      </c>
      <c r="P4" s="164">
        <v>2018</v>
      </c>
      <c r="Q4" s="164">
        <v>2019</v>
      </c>
      <c r="R4" s="164">
        <v>2020</v>
      </c>
      <c r="S4" s="164">
        <v>2021</v>
      </c>
      <c r="T4" s="147">
        <v>2022</v>
      </c>
      <c r="U4" s="164">
        <v>2023</v>
      </c>
      <c r="V4" s="146">
        <v>2024</v>
      </c>
      <c r="W4" s="274"/>
    </row>
    <row r="5" spans="1:23" s="64" customFormat="1" ht="10.7" customHeight="1" x14ac:dyDescent="0.3">
      <c r="A5" s="278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65"/>
      <c r="V5" s="161"/>
      <c r="W5" s="275"/>
    </row>
    <row r="6" spans="1:23" s="64" customFormat="1" ht="6.95" customHeight="1" x14ac:dyDescent="0.3">
      <c r="A6" s="168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58"/>
    </row>
    <row r="7" spans="1:23" ht="10.7" customHeight="1" x14ac:dyDescent="0.3">
      <c r="A7" s="169" t="s">
        <v>223</v>
      </c>
      <c r="B7" s="32">
        <v>140336</v>
      </c>
      <c r="C7" s="32">
        <v>128809</v>
      </c>
      <c r="D7" s="32">
        <v>111700</v>
      </c>
      <c r="E7" s="32">
        <v>82938</v>
      </c>
      <c r="F7" s="32">
        <v>52022</v>
      </c>
      <c r="G7" s="32">
        <v>43987</v>
      </c>
      <c r="H7" s="32">
        <v>31026</v>
      </c>
      <c r="I7" s="32">
        <v>-8450</v>
      </c>
      <c r="J7" s="32">
        <v>6900</v>
      </c>
      <c r="K7" s="32">
        <v>-4384</v>
      </c>
      <c r="L7" s="32">
        <v>-21111</v>
      </c>
      <c r="M7" s="32">
        <v>-32950</v>
      </c>
      <c r="N7" s="32">
        <v>-863</v>
      </c>
      <c r="O7" s="32">
        <v>16006</v>
      </c>
      <c r="P7" s="32">
        <v>59797</v>
      </c>
      <c r="Q7" s="32">
        <v>82741</v>
      </c>
      <c r="R7" s="32">
        <v>87775</v>
      </c>
      <c r="S7" s="32">
        <v>55697</v>
      </c>
      <c r="T7" s="32">
        <v>36643</v>
      </c>
      <c r="U7" s="32">
        <v>46869</v>
      </c>
      <c r="V7" s="32">
        <v>45169</v>
      </c>
      <c r="W7" s="167" t="s">
        <v>223</v>
      </c>
    </row>
    <row r="8" spans="1:23" ht="6.95" customHeight="1" x14ac:dyDescent="0.3">
      <c r="A8" s="168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158"/>
    </row>
    <row r="9" spans="1:23" ht="10.7" customHeight="1" x14ac:dyDescent="0.3">
      <c r="A9" s="168" t="s">
        <v>11</v>
      </c>
      <c r="B9" s="32">
        <v>4424</v>
      </c>
      <c r="C9" s="32">
        <v>647</v>
      </c>
      <c r="D9" s="32">
        <v>-1428</v>
      </c>
      <c r="E9" s="32">
        <v>-2684</v>
      </c>
      <c r="F9" s="32">
        <v>-3055</v>
      </c>
      <c r="G9" s="32">
        <v>-3208</v>
      </c>
      <c r="H9" s="32">
        <v>-3483</v>
      </c>
      <c r="I9" s="32">
        <v>-5461</v>
      </c>
      <c r="J9" s="32">
        <v>-4621</v>
      </c>
      <c r="K9" s="32">
        <v>-4944</v>
      </c>
      <c r="L9" s="32">
        <v>-6636</v>
      </c>
      <c r="M9" s="32">
        <v>-7161</v>
      </c>
      <c r="N9" s="32">
        <v>-5115</v>
      </c>
      <c r="O9" s="32">
        <v>-2978</v>
      </c>
      <c r="P9" s="32">
        <v>-705</v>
      </c>
      <c r="Q9" s="32">
        <v>-202</v>
      </c>
      <c r="R9" s="32">
        <v>-37</v>
      </c>
      <c r="S9" s="32">
        <v>-932</v>
      </c>
      <c r="T9" s="32">
        <v>-1530</v>
      </c>
      <c r="U9" s="32">
        <v>-448</v>
      </c>
      <c r="V9" s="32">
        <v>45</v>
      </c>
      <c r="W9" s="158" t="s">
        <v>11</v>
      </c>
    </row>
    <row r="10" spans="1:23" ht="10.7" customHeight="1" x14ac:dyDescent="0.3">
      <c r="A10" s="168" t="s">
        <v>12</v>
      </c>
      <c r="B10" s="32">
        <v>7187</v>
      </c>
      <c r="C10" s="32">
        <v>3810</v>
      </c>
      <c r="D10" s="32">
        <v>1772</v>
      </c>
      <c r="E10" s="32">
        <v>-3</v>
      </c>
      <c r="F10" s="32">
        <v>-37</v>
      </c>
      <c r="G10" s="32">
        <v>-937</v>
      </c>
      <c r="H10" s="32">
        <v>-1419</v>
      </c>
      <c r="I10" s="32">
        <v>-2808</v>
      </c>
      <c r="J10" s="32">
        <v>-2853</v>
      </c>
      <c r="K10" s="32">
        <v>-2946</v>
      </c>
      <c r="L10" s="32">
        <v>-4361</v>
      </c>
      <c r="M10" s="32">
        <v>-5290</v>
      </c>
      <c r="N10" s="32">
        <v>-3955</v>
      </c>
      <c r="O10" s="32">
        <v>-2068</v>
      </c>
      <c r="P10" s="32">
        <v>-698</v>
      </c>
      <c r="Q10" s="32">
        <v>510</v>
      </c>
      <c r="R10" s="32">
        <v>-30</v>
      </c>
      <c r="S10" s="32">
        <v>-729</v>
      </c>
      <c r="T10" s="32">
        <v>-813</v>
      </c>
      <c r="U10" s="32">
        <v>1192</v>
      </c>
      <c r="V10" s="32">
        <v>188</v>
      </c>
      <c r="W10" s="158" t="s">
        <v>12</v>
      </c>
    </row>
    <row r="11" spans="1:23" ht="10.7" customHeight="1" x14ac:dyDescent="0.3">
      <c r="A11" s="168" t="s">
        <v>13</v>
      </c>
      <c r="B11" s="32">
        <v>8349</v>
      </c>
      <c r="C11" s="32">
        <v>5174</v>
      </c>
      <c r="D11" s="32">
        <v>4072</v>
      </c>
      <c r="E11" s="32">
        <v>2172</v>
      </c>
      <c r="F11" s="32">
        <v>2466</v>
      </c>
      <c r="G11" s="32">
        <v>1934</v>
      </c>
      <c r="H11" s="32">
        <v>1356</v>
      </c>
      <c r="I11" s="32">
        <v>-960</v>
      </c>
      <c r="J11" s="32">
        <v>-781</v>
      </c>
      <c r="K11" s="32">
        <v>-539</v>
      </c>
      <c r="L11" s="32">
        <v>-1630</v>
      </c>
      <c r="M11" s="32">
        <v>-1958</v>
      </c>
      <c r="N11" s="32">
        <v>-1459</v>
      </c>
      <c r="O11" s="32">
        <v>-677</v>
      </c>
      <c r="P11" s="32">
        <v>479</v>
      </c>
      <c r="Q11" s="32">
        <v>977</v>
      </c>
      <c r="R11" s="32">
        <v>848</v>
      </c>
      <c r="S11" s="32">
        <v>338</v>
      </c>
      <c r="T11" s="32">
        <v>510</v>
      </c>
      <c r="U11" s="32">
        <v>1215</v>
      </c>
      <c r="V11" s="32">
        <v>679</v>
      </c>
      <c r="W11" s="158" t="s">
        <v>13</v>
      </c>
    </row>
    <row r="12" spans="1:23" ht="10.7" customHeight="1" x14ac:dyDescent="0.3">
      <c r="A12" s="168" t="s">
        <v>14</v>
      </c>
      <c r="B12" s="32">
        <v>9470</v>
      </c>
      <c r="C12" s="32">
        <v>9653</v>
      </c>
      <c r="D12" s="32">
        <v>8058</v>
      </c>
      <c r="E12" s="32">
        <v>6232</v>
      </c>
      <c r="F12" s="32">
        <v>5733</v>
      </c>
      <c r="G12" s="32">
        <v>5834</v>
      </c>
      <c r="H12" s="32">
        <v>4960</v>
      </c>
      <c r="I12" s="32">
        <v>2015</v>
      </c>
      <c r="J12" s="32">
        <v>3578</v>
      </c>
      <c r="K12" s="32">
        <v>2403</v>
      </c>
      <c r="L12" s="32">
        <v>3041</v>
      </c>
      <c r="M12" s="32">
        <v>2927</v>
      </c>
      <c r="N12" s="32">
        <v>4972</v>
      </c>
      <c r="O12" s="32">
        <v>4936</v>
      </c>
      <c r="P12" s="32">
        <v>6363</v>
      </c>
      <c r="Q12" s="32">
        <v>8025</v>
      </c>
      <c r="R12" s="32">
        <v>8399</v>
      </c>
      <c r="S12" s="32">
        <v>7374</v>
      </c>
      <c r="T12" s="32">
        <v>8582</v>
      </c>
      <c r="U12" s="32">
        <v>7544</v>
      </c>
      <c r="V12" s="32">
        <v>7554</v>
      </c>
      <c r="W12" s="158" t="s">
        <v>14</v>
      </c>
    </row>
    <row r="13" spans="1:23" ht="10.7" customHeight="1" x14ac:dyDescent="0.3">
      <c r="A13" s="168" t="s">
        <v>15</v>
      </c>
      <c r="B13" s="32">
        <v>45220</v>
      </c>
      <c r="C13" s="32">
        <v>48464</v>
      </c>
      <c r="D13" s="32">
        <v>44301</v>
      </c>
      <c r="E13" s="32">
        <v>37610</v>
      </c>
      <c r="F13" s="32">
        <v>29559</v>
      </c>
      <c r="G13" s="32">
        <v>27364</v>
      </c>
      <c r="H13" s="32">
        <v>26991</v>
      </c>
      <c r="I13" s="32">
        <v>21935</v>
      </c>
      <c r="J13" s="32">
        <v>26879</v>
      </c>
      <c r="K13" s="32">
        <v>24003</v>
      </c>
      <c r="L13" s="32">
        <v>24696</v>
      </c>
      <c r="M13" s="32">
        <v>23241</v>
      </c>
      <c r="N13" s="32">
        <v>30079</v>
      </c>
      <c r="O13" s="32">
        <v>29575</v>
      </c>
      <c r="P13" s="32">
        <v>34205</v>
      </c>
      <c r="Q13" s="32">
        <v>41645</v>
      </c>
      <c r="R13" s="32">
        <v>46958</v>
      </c>
      <c r="S13" s="32">
        <v>42007</v>
      </c>
      <c r="T13" s="32">
        <v>38165</v>
      </c>
      <c r="U13" s="32">
        <v>33662</v>
      </c>
      <c r="V13" s="32">
        <v>32037</v>
      </c>
      <c r="W13" s="158" t="s">
        <v>15</v>
      </c>
    </row>
    <row r="14" spans="1:23" ht="10.7" customHeight="1" x14ac:dyDescent="0.3">
      <c r="A14" s="168" t="s">
        <v>16</v>
      </c>
      <c r="B14" s="32">
        <v>38856</v>
      </c>
      <c r="C14" s="32">
        <v>41596</v>
      </c>
      <c r="D14" s="32">
        <v>39993</v>
      </c>
      <c r="E14" s="32">
        <v>37571</v>
      </c>
      <c r="F14" s="32">
        <v>29878</v>
      </c>
      <c r="G14" s="32">
        <v>25180</v>
      </c>
      <c r="H14" s="32">
        <v>26710</v>
      </c>
      <c r="I14" s="32">
        <v>21416</v>
      </c>
      <c r="J14" s="32">
        <v>24284</v>
      </c>
      <c r="K14" s="32">
        <v>20653</v>
      </c>
      <c r="L14" s="32">
        <v>19819</v>
      </c>
      <c r="M14" s="32">
        <v>16316</v>
      </c>
      <c r="N14" s="32">
        <v>21044</v>
      </c>
      <c r="O14" s="32">
        <v>24294</v>
      </c>
      <c r="P14" s="32">
        <v>32161</v>
      </c>
      <c r="Q14" s="32">
        <v>33948</v>
      </c>
      <c r="R14" s="32">
        <v>34484</v>
      </c>
      <c r="S14" s="32">
        <v>28204</v>
      </c>
      <c r="T14" s="32">
        <v>25341</v>
      </c>
      <c r="U14" s="32">
        <v>23249</v>
      </c>
      <c r="V14" s="32">
        <v>22018</v>
      </c>
      <c r="W14" s="158" t="s">
        <v>16</v>
      </c>
    </row>
    <row r="15" spans="1:23" ht="10.7" customHeight="1" x14ac:dyDescent="0.3">
      <c r="A15" s="168" t="s">
        <v>17</v>
      </c>
      <c r="B15" s="32">
        <v>8372</v>
      </c>
      <c r="C15" s="32">
        <v>6728</v>
      </c>
      <c r="D15" s="32">
        <v>5729</v>
      </c>
      <c r="E15" s="32">
        <v>2971</v>
      </c>
      <c r="F15" s="32">
        <v>635</v>
      </c>
      <c r="G15" s="32">
        <v>589</v>
      </c>
      <c r="H15" s="32">
        <v>-459</v>
      </c>
      <c r="I15" s="32">
        <v>-3807</v>
      </c>
      <c r="J15" s="32">
        <v>-1026</v>
      </c>
      <c r="K15" s="32">
        <v>-1890</v>
      </c>
      <c r="L15" s="32">
        <v>-5085</v>
      </c>
      <c r="M15" s="32">
        <v>-6228</v>
      </c>
      <c r="N15" s="32">
        <v>-1930</v>
      </c>
      <c r="O15" s="32">
        <v>1516</v>
      </c>
      <c r="P15" s="32">
        <v>7413</v>
      </c>
      <c r="Q15" s="32">
        <v>8384</v>
      </c>
      <c r="R15" s="32">
        <v>9277</v>
      </c>
      <c r="S15" s="32">
        <v>4881</v>
      </c>
      <c r="T15" s="32">
        <v>3296</v>
      </c>
      <c r="U15" s="32">
        <v>3266</v>
      </c>
      <c r="V15" s="32">
        <v>3956</v>
      </c>
      <c r="W15" s="158" t="s">
        <v>17</v>
      </c>
    </row>
    <row r="16" spans="1:23" ht="6.95" customHeight="1" x14ac:dyDescent="0.3">
      <c r="A16" s="168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158"/>
    </row>
    <row r="17" spans="1:24" ht="10.7" customHeight="1" x14ac:dyDescent="0.3">
      <c r="A17" s="168" t="s">
        <v>18</v>
      </c>
      <c r="B17" s="32">
        <v>5002</v>
      </c>
      <c r="C17" s="32">
        <v>3112</v>
      </c>
      <c r="D17" s="32">
        <v>1119</v>
      </c>
      <c r="E17" s="32">
        <v>-1155</v>
      </c>
      <c r="F17" s="32">
        <v>-2811</v>
      </c>
      <c r="G17" s="32">
        <v>-3331</v>
      </c>
      <c r="H17" s="32">
        <v>-5311</v>
      </c>
      <c r="I17" s="32">
        <v>-8214</v>
      </c>
      <c r="J17" s="32">
        <v>-6795</v>
      </c>
      <c r="K17" s="32">
        <v>-7209</v>
      </c>
      <c r="L17" s="32">
        <v>-9834</v>
      </c>
      <c r="M17" s="32">
        <v>-10596</v>
      </c>
      <c r="N17" s="32">
        <v>-7499</v>
      </c>
      <c r="O17" s="32">
        <v>-4860</v>
      </c>
      <c r="P17" s="32">
        <v>-670</v>
      </c>
      <c r="Q17" s="32">
        <v>1211</v>
      </c>
      <c r="R17" s="32">
        <v>2711</v>
      </c>
      <c r="S17" s="32">
        <v>-491</v>
      </c>
      <c r="T17" s="32">
        <v>-2434</v>
      </c>
      <c r="U17" s="32">
        <v>-573</v>
      </c>
      <c r="V17" s="32">
        <v>-444</v>
      </c>
      <c r="W17" s="158" t="s">
        <v>18</v>
      </c>
    </row>
    <row r="18" spans="1:24" ht="10.7" customHeight="1" x14ac:dyDescent="0.3">
      <c r="A18" s="168" t="s">
        <v>19</v>
      </c>
      <c r="B18" s="32">
        <v>3726</v>
      </c>
      <c r="C18" s="32">
        <v>2766</v>
      </c>
      <c r="D18" s="32">
        <v>1373</v>
      </c>
      <c r="E18" s="32">
        <v>-368</v>
      </c>
      <c r="F18" s="32">
        <v>-2070</v>
      </c>
      <c r="G18" s="32">
        <v>-1948</v>
      </c>
      <c r="H18" s="32">
        <v>-3521</v>
      </c>
      <c r="I18" s="32">
        <v>-6728</v>
      </c>
      <c r="J18" s="32">
        <v>-6509</v>
      </c>
      <c r="K18" s="32">
        <v>-6832</v>
      </c>
      <c r="L18" s="32">
        <v>-9013</v>
      </c>
      <c r="M18" s="32">
        <v>-9456</v>
      </c>
      <c r="N18" s="32">
        <v>-6719</v>
      </c>
      <c r="O18" s="32">
        <v>-4776</v>
      </c>
      <c r="P18" s="32">
        <v>-1829</v>
      </c>
      <c r="Q18" s="32">
        <v>314</v>
      </c>
      <c r="R18" s="32">
        <v>283</v>
      </c>
      <c r="S18" s="32">
        <v>-1917</v>
      </c>
      <c r="T18" s="32">
        <v>-3161</v>
      </c>
      <c r="U18" s="32">
        <v>-1322</v>
      </c>
      <c r="V18" s="32">
        <v>-1374</v>
      </c>
      <c r="W18" s="158" t="s">
        <v>19</v>
      </c>
    </row>
    <row r="19" spans="1:24" ht="10.7" customHeight="1" x14ac:dyDescent="0.3">
      <c r="A19" s="168" t="s">
        <v>20</v>
      </c>
      <c r="B19" s="32">
        <v>1871</v>
      </c>
      <c r="C19" s="32">
        <v>1117</v>
      </c>
      <c r="D19" s="32">
        <v>353</v>
      </c>
      <c r="E19" s="32">
        <v>-1099</v>
      </c>
      <c r="F19" s="32">
        <v>-2800</v>
      </c>
      <c r="G19" s="32">
        <v>-1877</v>
      </c>
      <c r="H19" s="32">
        <v>-3800</v>
      </c>
      <c r="I19" s="32">
        <v>-6153</v>
      </c>
      <c r="J19" s="32">
        <v>-5116</v>
      </c>
      <c r="K19" s="32">
        <v>-6202</v>
      </c>
      <c r="L19" s="32">
        <v>-7322</v>
      </c>
      <c r="M19" s="32">
        <v>-8035</v>
      </c>
      <c r="N19" s="32">
        <v>-6164</v>
      </c>
      <c r="O19" s="32">
        <v>-5205</v>
      </c>
      <c r="P19" s="32">
        <v>-2342</v>
      </c>
      <c r="Q19" s="32">
        <v>-1381</v>
      </c>
      <c r="R19" s="32">
        <v>-810</v>
      </c>
      <c r="S19" s="32">
        <v>-2770</v>
      </c>
      <c r="T19" s="32">
        <v>-3572</v>
      </c>
      <c r="U19" s="32">
        <v>-2198</v>
      </c>
      <c r="V19" s="32">
        <v>-2196</v>
      </c>
      <c r="W19" s="158" t="s">
        <v>20</v>
      </c>
    </row>
    <row r="20" spans="1:24" ht="10.7" customHeight="1" x14ac:dyDescent="0.3">
      <c r="A20" s="168" t="s">
        <v>21</v>
      </c>
      <c r="B20" s="32">
        <v>760</v>
      </c>
      <c r="C20" s="32">
        <v>15</v>
      </c>
      <c r="D20" s="32">
        <v>-101</v>
      </c>
      <c r="E20" s="32">
        <v>-1081</v>
      </c>
      <c r="F20" s="32">
        <v>-2360</v>
      </c>
      <c r="G20" s="32">
        <v>-2279</v>
      </c>
      <c r="H20" s="32">
        <v>-3178</v>
      </c>
      <c r="I20" s="32">
        <v>-6318</v>
      </c>
      <c r="J20" s="32">
        <v>-6568</v>
      </c>
      <c r="K20" s="32">
        <v>-6407</v>
      </c>
      <c r="L20" s="32">
        <v>-7687</v>
      </c>
      <c r="M20" s="32">
        <v>-8148</v>
      </c>
      <c r="N20" s="32">
        <v>-6822</v>
      </c>
      <c r="O20" s="32">
        <v>-5951</v>
      </c>
      <c r="P20" s="32">
        <v>-3690</v>
      </c>
      <c r="Q20" s="32">
        <v>-2607</v>
      </c>
      <c r="R20" s="32">
        <v>-2879</v>
      </c>
      <c r="S20" s="32">
        <v>-4208</v>
      </c>
      <c r="T20" s="32">
        <v>-5499</v>
      </c>
      <c r="U20" s="32">
        <v>-4170</v>
      </c>
      <c r="V20" s="32">
        <v>-4058</v>
      </c>
      <c r="W20" s="158" t="s">
        <v>21</v>
      </c>
    </row>
    <row r="21" spans="1:24" ht="10.7" customHeight="1" x14ac:dyDescent="0.3">
      <c r="A21" s="168" t="s">
        <v>22</v>
      </c>
      <c r="B21" s="32">
        <v>662</v>
      </c>
      <c r="C21" s="32">
        <v>26</v>
      </c>
      <c r="D21" s="32">
        <v>214</v>
      </c>
      <c r="E21" s="32">
        <v>-88</v>
      </c>
      <c r="F21" s="32">
        <v>-1580</v>
      </c>
      <c r="G21" s="32">
        <v>-1342</v>
      </c>
      <c r="H21" s="32">
        <v>-3073</v>
      </c>
      <c r="I21" s="32">
        <v>-5342</v>
      </c>
      <c r="J21" s="32">
        <v>-5266</v>
      </c>
      <c r="K21" s="32">
        <v>-5630</v>
      </c>
      <c r="L21" s="32">
        <v>-6808</v>
      </c>
      <c r="M21" s="32">
        <v>-8065</v>
      </c>
      <c r="N21" s="32">
        <v>-7881</v>
      </c>
      <c r="O21" s="32">
        <v>-7135</v>
      </c>
      <c r="P21" s="32">
        <v>-5000</v>
      </c>
      <c r="Q21" s="32">
        <v>-4071</v>
      </c>
      <c r="R21" s="32">
        <v>-4154</v>
      </c>
      <c r="S21" s="32">
        <v>-5616</v>
      </c>
      <c r="T21" s="32">
        <v>-7274</v>
      </c>
      <c r="U21" s="32">
        <v>-5375</v>
      </c>
      <c r="V21" s="32">
        <v>-5271</v>
      </c>
      <c r="W21" s="158" t="s">
        <v>22</v>
      </c>
    </row>
    <row r="22" spans="1:24" ht="10.7" customHeight="1" x14ac:dyDescent="0.3">
      <c r="A22" s="168" t="s">
        <v>279</v>
      </c>
      <c r="B22" s="32">
        <v>6437</v>
      </c>
      <c r="C22" s="32">
        <v>5701</v>
      </c>
      <c r="D22" s="32">
        <v>6245</v>
      </c>
      <c r="E22" s="32">
        <v>2860</v>
      </c>
      <c r="F22" s="32">
        <v>-1536</v>
      </c>
      <c r="G22" s="32">
        <v>-1992</v>
      </c>
      <c r="H22" s="32">
        <v>-4747</v>
      </c>
      <c r="I22" s="32">
        <v>-8025</v>
      </c>
      <c r="J22" s="32">
        <v>-8306</v>
      </c>
      <c r="K22" s="32">
        <v>-8844</v>
      </c>
      <c r="L22" s="32">
        <v>-10291</v>
      </c>
      <c r="M22" s="32">
        <v>-10497</v>
      </c>
      <c r="N22" s="32">
        <v>-9414</v>
      </c>
      <c r="O22" s="32">
        <v>-10665</v>
      </c>
      <c r="P22" s="32">
        <v>-5890</v>
      </c>
      <c r="Q22" s="32">
        <v>-4012</v>
      </c>
      <c r="R22" s="32">
        <v>-7275</v>
      </c>
      <c r="S22" s="32">
        <v>-10444</v>
      </c>
      <c r="T22" s="32">
        <v>-14968</v>
      </c>
      <c r="U22" s="32">
        <v>-9173</v>
      </c>
      <c r="V22" s="32">
        <v>-7965</v>
      </c>
      <c r="W22" s="158" t="s">
        <v>278</v>
      </c>
    </row>
    <row r="23" spans="1:24" ht="6.95" customHeight="1" x14ac:dyDescent="0.3">
      <c r="A23" s="16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158"/>
    </row>
    <row r="24" spans="1:24" ht="10.7" customHeight="1" x14ac:dyDescent="0.3">
      <c r="A24" s="168" t="s">
        <v>297</v>
      </c>
      <c r="B24" s="32">
        <v>95460</v>
      </c>
      <c r="C24" s="32">
        <v>100649</v>
      </c>
      <c r="D24" s="32">
        <v>92980</v>
      </c>
      <c r="E24" s="32">
        <v>80497</v>
      </c>
      <c r="F24" s="32">
        <v>62258</v>
      </c>
      <c r="G24" s="32">
        <v>54985</v>
      </c>
      <c r="H24" s="32">
        <v>54752</v>
      </c>
      <c r="I24" s="32">
        <v>39634</v>
      </c>
      <c r="J24" s="32">
        <v>51000</v>
      </c>
      <c r="K24" s="32">
        <v>43211</v>
      </c>
      <c r="L24" s="32">
        <v>40017</v>
      </c>
      <c r="M24" s="32">
        <v>33971</v>
      </c>
      <c r="N24" s="32">
        <v>51025</v>
      </c>
      <c r="O24" s="32">
        <v>56545</v>
      </c>
      <c r="P24" s="32">
        <v>75696</v>
      </c>
      <c r="Q24" s="32">
        <v>86661</v>
      </c>
      <c r="R24" s="32">
        <v>94297</v>
      </c>
      <c r="S24" s="32">
        <v>78003</v>
      </c>
      <c r="T24" s="32">
        <v>70143</v>
      </c>
      <c r="U24" s="32">
        <v>63090</v>
      </c>
      <c r="V24" s="236">
        <v>61490</v>
      </c>
      <c r="W24" s="158" t="s">
        <v>297</v>
      </c>
    </row>
    <row r="25" spans="1:24" ht="10.7" customHeight="1" x14ac:dyDescent="0.3">
      <c r="A25" s="168" t="s">
        <v>298</v>
      </c>
      <c r="B25" s="32">
        <v>7753</v>
      </c>
      <c r="C25" s="32">
        <v>4410</v>
      </c>
      <c r="D25" s="32">
        <v>2508</v>
      </c>
      <c r="E25" s="32">
        <v>-2491</v>
      </c>
      <c r="F25" s="32">
        <v>-10285</v>
      </c>
      <c r="G25" s="32">
        <v>-8974</v>
      </c>
      <c r="H25" s="32">
        <v>-16259</v>
      </c>
      <c r="I25" s="32">
        <v>-28237</v>
      </c>
      <c r="J25" s="32">
        <v>-27245</v>
      </c>
      <c r="K25" s="32">
        <v>-29325</v>
      </c>
      <c r="L25" s="32">
        <v>-35516</v>
      </c>
      <c r="M25" s="32">
        <v>-39216</v>
      </c>
      <c r="N25" s="32">
        <v>-33019</v>
      </c>
      <c r="O25" s="32">
        <v>-28686</v>
      </c>
      <c r="P25" s="32">
        <v>-16750</v>
      </c>
      <c r="Q25" s="32">
        <v>-10750</v>
      </c>
      <c r="R25" s="32">
        <v>-11624</v>
      </c>
      <c r="S25" s="32">
        <v>-20467</v>
      </c>
      <c r="T25" s="32">
        <v>-27113</v>
      </c>
      <c r="U25" s="32">
        <v>-19004</v>
      </c>
      <c r="V25" s="236">
        <v>-17983</v>
      </c>
      <c r="W25" s="158" t="s">
        <v>298</v>
      </c>
    </row>
    <row r="26" spans="1:24" ht="6.95" customHeight="1" x14ac:dyDescent="0.3">
      <c r="A26" s="168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236"/>
      <c r="W26" s="158"/>
    </row>
    <row r="27" spans="1:24" ht="10.7" customHeight="1" x14ac:dyDescent="0.3">
      <c r="A27" s="169" t="s">
        <v>224</v>
      </c>
      <c r="B27" s="32">
        <v>-47204</v>
      </c>
      <c r="C27" s="32">
        <v>-51007</v>
      </c>
      <c r="D27" s="32">
        <v>-36551</v>
      </c>
      <c r="E27" s="32">
        <v>-52883</v>
      </c>
      <c r="F27" s="32">
        <v>-57994</v>
      </c>
      <c r="G27" s="32">
        <v>-52264</v>
      </c>
      <c r="H27" s="32">
        <v>-115023</v>
      </c>
      <c r="I27" s="32">
        <v>-113058</v>
      </c>
      <c r="J27" s="32">
        <v>-103647</v>
      </c>
      <c r="K27" s="32">
        <v>-100550</v>
      </c>
      <c r="L27" s="32">
        <v>-87831</v>
      </c>
      <c r="M27" s="32">
        <v>-137256</v>
      </c>
      <c r="N27" s="32">
        <v>-140257</v>
      </c>
      <c r="O27" s="32">
        <v>-98486</v>
      </c>
      <c r="P27" s="32">
        <v>-110230</v>
      </c>
      <c r="Q27" s="32">
        <v>-49588</v>
      </c>
      <c r="R27" s="32">
        <v>-64850</v>
      </c>
      <c r="S27" s="32">
        <v>-106243</v>
      </c>
      <c r="T27" s="32">
        <v>-35340</v>
      </c>
      <c r="U27" s="32">
        <v>-31250</v>
      </c>
      <c r="V27" s="32">
        <v>-44692</v>
      </c>
      <c r="W27" s="167" t="s">
        <v>224</v>
      </c>
      <c r="X27" s="62"/>
    </row>
    <row r="28" spans="1:24" ht="6.95" customHeight="1" x14ac:dyDescent="0.3">
      <c r="A28" s="16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158"/>
      <c r="X28" s="62"/>
    </row>
    <row r="29" spans="1:24" ht="10.7" customHeight="1" x14ac:dyDescent="0.3">
      <c r="A29" s="168" t="s">
        <v>11</v>
      </c>
      <c r="B29" s="32">
        <v>-9173</v>
      </c>
      <c r="C29" s="32">
        <v>-12007</v>
      </c>
      <c r="D29" s="32">
        <v>-11737</v>
      </c>
      <c r="E29" s="32">
        <v>-12848</v>
      </c>
      <c r="F29" s="32">
        <v>-12283</v>
      </c>
      <c r="G29" s="32">
        <v>-11829</v>
      </c>
      <c r="H29" s="32">
        <v>-16661</v>
      </c>
      <c r="I29" s="32">
        <v>-15633</v>
      </c>
      <c r="J29" s="32">
        <v>-14484</v>
      </c>
      <c r="K29" s="32">
        <v>-14408</v>
      </c>
      <c r="L29" s="32">
        <v>-13291</v>
      </c>
      <c r="M29" s="32">
        <v>-16056</v>
      </c>
      <c r="N29" s="32">
        <v>-17047</v>
      </c>
      <c r="O29" s="32">
        <v>-13658</v>
      </c>
      <c r="P29" s="32">
        <v>-15742</v>
      </c>
      <c r="Q29" s="32">
        <v>-9989</v>
      </c>
      <c r="R29" s="32">
        <v>-8998</v>
      </c>
      <c r="S29" s="32">
        <v>-9271</v>
      </c>
      <c r="T29" s="32">
        <v>-7002</v>
      </c>
      <c r="U29" s="32">
        <v>-6310</v>
      </c>
      <c r="V29" s="32">
        <v>-6710</v>
      </c>
      <c r="W29" s="158" t="s">
        <v>11</v>
      </c>
    </row>
    <row r="30" spans="1:24" ht="10.7" customHeight="1" x14ac:dyDescent="0.3">
      <c r="A30" s="168" t="s">
        <v>12</v>
      </c>
      <c r="B30" s="32">
        <v>-883</v>
      </c>
      <c r="C30" s="32">
        <v>-2407</v>
      </c>
      <c r="D30" s="32">
        <v>-2163</v>
      </c>
      <c r="E30" s="32">
        <v>-3226</v>
      </c>
      <c r="F30" s="32">
        <v>-2221</v>
      </c>
      <c r="G30" s="32">
        <v>-2795</v>
      </c>
      <c r="H30" s="32">
        <v>-5803</v>
      </c>
      <c r="I30" s="32">
        <v>-5157</v>
      </c>
      <c r="J30" s="32">
        <v>-5395</v>
      </c>
      <c r="K30" s="32">
        <v>-5451</v>
      </c>
      <c r="L30" s="32">
        <v>-4820</v>
      </c>
      <c r="M30" s="32">
        <v>-6688</v>
      </c>
      <c r="N30" s="32">
        <v>-7590</v>
      </c>
      <c r="O30" s="32">
        <v>-5716</v>
      </c>
      <c r="P30" s="32">
        <v>-7502</v>
      </c>
      <c r="Q30" s="32">
        <v>-3383</v>
      </c>
      <c r="R30" s="32">
        <v>-4374</v>
      </c>
      <c r="S30" s="32">
        <v>-5581</v>
      </c>
      <c r="T30" s="32">
        <v>-2874</v>
      </c>
      <c r="U30" s="32">
        <v>-1333</v>
      </c>
      <c r="V30" s="32">
        <v>-907</v>
      </c>
      <c r="W30" s="158" t="s">
        <v>12</v>
      </c>
    </row>
    <row r="31" spans="1:24" ht="10.7" customHeight="1" x14ac:dyDescent="0.3">
      <c r="A31" s="168" t="s">
        <v>13</v>
      </c>
      <c r="B31" s="32">
        <v>4869</v>
      </c>
      <c r="C31" s="32">
        <v>3419</v>
      </c>
      <c r="D31" s="32">
        <v>3927</v>
      </c>
      <c r="E31" s="32">
        <v>2446</v>
      </c>
      <c r="F31" s="32">
        <v>2559</v>
      </c>
      <c r="G31" s="32">
        <v>2260</v>
      </c>
      <c r="H31" s="32">
        <v>-890</v>
      </c>
      <c r="I31" s="32">
        <v>-1166</v>
      </c>
      <c r="J31" s="32">
        <v>-2325</v>
      </c>
      <c r="K31" s="32">
        <v>-1828</v>
      </c>
      <c r="L31" s="32">
        <v>-1312</v>
      </c>
      <c r="M31" s="32">
        <v>-2778</v>
      </c>
      <c r="N31" s="32">
        <v>-3315</v>
      </c>
      <c r="O31" s="32">
        <v>-1952</v>
      </c>
      <c r="P31" s="32">
        <v>-3008</v>
      </c>
      <c r="Q31" s="32">
        <v>-776</v>
      </c>
      <c r="R31" s="32">
        <v>-1481</v>
      </c>
      <c r="S31" s="32">
        <v>-2777</v>
      </c>
      <c r="T31" s="32">
        <v>-629</v>
      </c>
      <c r="U31" s="32">
        <v>-191</v>
      </c>
      <c r="V31" s="32">
        <v>77</v>
      </c>
      <c r="W31" s="158" t="s">
        <v>13</v>
      </c>
    </row>
    <row r="32" spans="1:24" ht="10.7" customHeight="1" x14ac:dyDescent="0.3">
      <c r="A32" s="168" t="s">
        <v>14</v>
      </c>
      <c r="B32" s="32">
        <v>3344</v>
      </c>
      <c r="C32" s="32">
        <v>3292</v>
      </c>
      <c r="D32" s="32">
        <v>3455</v>
      </c>
      <c r="E32" s="32">
        <v>2410</v>
      </c>
      <c r="F32" s="32">
        <v>2574</v>
      </c>
      <c r="G32" s="32">
        <v>2658</v>
      </c>
      <c r="H32" s="32">
        <v>-26</v>
      </c>
      <c r="I32" s="32">
        <v>-677</v>
      </c>
      <c r="J32" s="32">
        <v>-45</v>
      </c>
      <c r="K32" s="32">
        <v>154</v>
      </c>
      <c r="L32" s="32">
        <v>2176</v>
      </c>
      <c r="M32" s="32">
        <v>836</v>
      </c>
      <c r="N32" s="32">
        <v>564</v>
      </c>
      <c r="O32" s="32">
        <v>2641</v>
      </c>
      <c r="P32" s="32">
        <v>2911</v>
      </c>
      <c r="Q32" s="32">
        <v>4867</v>
      </c>
      <c r="R32" s="32">
        <v>3436</v>
      </c>
      <c r="S32" s="32">
        <v>2020</v>
      </c>
      <c r="T32" s="32">
        <v>7627</v>
      </c>
      <c r="U32" s="32">
        <v>7213</v>
      </c>
      <c r="V32" s="32">
        <v>7898</v>
      </c>
      <c r="W32" s="158" t="s">
        <v>14</v>
      </c>
    </row>
    <row r="33" spans="1:23" ht="10.7" customHeight="1" x14ac:dyDescent="0.3">
      <c r="A33" s="168" t="s">
        <v>15</v>
      </c>
      <c r="B33" s="32">
        <v>16420</v>
      </c>
      <c r="C33" s="32">
        <v>18074</v>
      </c>
      <c r="D33" s="32">
        <v>20748</v>
      </c>
      <c r="E33" s="32">
        <v>19809</v>
      </c>
      <c r="F33" s="32">
        <v>16938</v>
      </c>
      <c r="G33" s="32">
        <v>16083</v>
      </c>
      <c r="H33" s="32">
        <v>12065</v>
      </c>
      <c r="I33" s="32">
        <v>12929</v>
      </c>
      <c r="J33" s="32">
        <v>16046</v>
      </c>
      <c r="K33" s="32">
        <v>15632</v>
      </c>
      <c r="L33" s="32">
        <v>18336</v>
      </c>
      <c r="M33" s="32">
        <v>14671</v>
      </c>
      <c r="N33" s="32">
        <v>17580</v>
      </c>
      <c r="O33" s="32">
        <v>21174</v>
      </c>
      <c r="P33" s="32">
        <v>23981</v>
      </c>
      <c r="Q33" s="32">
        <v>28520</v>
      </c>
      <c r="R33" s="32">
        <v>27835</v>
      </c>
      <c r="S33" s="32">
        <v>25335</v>
      </c>
      <c r="T33" s="32">
        <v>35379</v>
      </c>
      <c r="U33" s="32">
        <v>29240</v>
      </c>
      <c r="V33" s="32">
        <v>26324</v>
      </c>
      <c r="W33" s="158" t="s">
        <v>15</v>
      </c>
    </row>
    <row r="34" spans="1:23" ht="10.7" customHeight="1" x14ac:dyDescent="0.3">
      <c r="A34" s="168" t="s">
        <v>16</v>
      </c>
      <c r="B34" s="32">
        <v>-3202</v>
      </c>
      <c r="C34" s="32">
        <v>-1235</v>
      </c>
      <c r="D34" s="32">
        <v>3636</v>
      </c>
      <c r="E34" s="32">
        <v>6817</v>
      </c>
      <c r="F34" s="32">
        <v>6649</v>
      </c>
      <c r="G34" s="32">
        <v>5927</v>
      </c>
      <c r="H34" s="32">
        <v>-84</v>
      </c>
      <c r="I34" s="32">
        <v>2678</v>
      </c>
      <c r="J34" s="32">
        <v>5761</v>
      </c>
      <c r="K34" s="32">
        <v>5347</v>
      </c>
      <c r="L34" s="32">
        <v>7964</v>
      </c>
      <c r="M34" s="32">
        <v>3119</v>
      </c>
      <c r="N34" s="32">
        <v>4983</v>
      </c>
      <c r="O34" s="32">
        <v>10781</v>
      </c>
      <c r="P34" s="32">
        <v>15360</v>
      </c>
      <c r="Q34" s="32">
        <v>19046</v>
      </c>
      <c r="R34" s="32">
        <v>16988</v>
      </c>
      <c r="S34" s="32">
        <v>10185</v>
      </c>
      <c r="T34" s="32">
        <v>18310</v>
      </c>
      <c r="U34" s="32">
        <v>16965</v>
      </c>
      <c r="V34" s="32">
        <v>10237</v>
      </c>
      <c r="W34" s="158" t="s">
        <v>16</v>
      </c>
    </row>
    <row r="35" spans="1:23" ht="10.7" customHeight="1" x14ac:dyDescent="0.3">
      <c r="A35" s="168" t="s">
        <v>17</v>
      </c>
      <c r="B35" s="32">
        <v>-20854</v>
      </c>
      <c r="C35" s="32">
        <v>-21588</v>
      </c>
      <c r="D35" s="32">
        <v>-19578</v>
      </c>
      <c r="E35" s="32">
        <v>-21438</v>
      </c>
      <c r="F35" s="32">
        <v>-18805</v>
      </c>
      <c r="G35" s="32">
        <v>-16780</v>
      </c>
      <c r="H35" s="32">
        <v>-26699</v>
      </c>
      <c r="I35" s="32">
        <v>-24099</v>
      </c>
      <c r="J35" s="32">
        <v>-23104</v>
      </c>
      <c r="K35" s="32">
        <v>-23948</v>
      </c>
      <c r="L35" s="32">
        <v>-21747</v>
      </c>
      <c r="M35" s="32">
        <v>-25500</v>
      </c>
      <c r="N35" s="32">
        <v>-23804</v>
      </c>
      <c r="O35" s="32">
        <v>-16522</v>
      </c>
      <c r="P35" s="32">
        <v>-17049</v>
      </c>
      <c r="Q35" s="32">
        <v>-10863</v>
      </c>
      <c r="R35" s="32">
        <v>-10794</v>
      </c>
      <c r="S35" s="32">
        <v>-20099</v>
      </c>
      <c r="T35" s="32">
        <v>-12683</v>
      </c>
      <c r="U35" s="32">
        <v>-11144</v>
      </c>
      <c r="V35" s="32">
        <v>-13634</v>
      </c>
      <c r="W35" s="158" t="s">
        <v>17</v>
      </c>
    </row>
    <row r="36" spans="1:23" ht="6.95" customHeight="1" x14ac:dyDescent="0.3">
      <c r="A36" s="168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158"/>
    </row>
    <row r="37" spans="1:23" ht="10.7" customHeight="1" x14ac:dyDescent="0.3">
      <c r="A37" s="168" t="s">
        <v>18</v>
      </c>
      <c r="B37" s="32">
        <v>-7430</v>
      </c>
      <c r="C37" s="32">
        <v>-9007</v>
      </c>
      <c r="D37" s="32">
        <v>-8911</v>
      </c>
      <c r="E37" s="32">
        <v>-11655</v>
      </c>
      <c r="F37" s="32">
        <v>-12613</v>
      </c>
      <c r="G37" s="32">
        <v>-13368</v>
      </c>
      <c r="H37" s="32">
        <v>-21558</v>
      </c>
      <c r="I37" s="32">
        <v>-20041</v>
      </c>
      <c r="J37" s="32">
        <v>-18925</v>
      </c>
      <c r="K37" s="32">
        <v>-18075</v>
      </c>
      <c r="L37" s="32">
        <v>-17217</v>
      </c>
      <c r="M37" s="32">
        <v>-22897</v>
      </c>
      <c r="N37" s="32">
        <v>-23892</v>
      </c>
      <c r="O37" s="32">
        <v>-20343</v>
      </c>
      <c r="P37" s="32">
        <v>-25472</v>
      </c>
      <c r="Q37" s="32">
        <v>-17678</v>
      </c>
      <c r="R37" s="32">
        <v>-17989</v>
      </c>
      <c r="S37" s="32">
        <v>-21727</v>
      </c>
      <c r="T37" s="32">
        <v>-14647</v>
      </c>
      <c r="U37" s="32">
        <v>-12345</v>
      </c>
      <c r="V37" s="32">
        <v>-12590</v>
      </c>
      <c r="W37" s="158" t="s">
        <v>18</v>
      </c>
    </row>
    <row r="38" spans="1:23" ht="10.7" customHeight="1" x14ac:dyDescent="0.3">
      <c r="A38" s="168" t="s">
        <v>19</v>
      </c>
      <c r="B38" s="32">
        <v>-2733</v>
      </c>
      <c r="C38" s="32">
        <v>-2265</v>
      </c>
      <c r="D38" s="32">
        <v>-912</v>
      </c>
      <c r="E38" s="32">
        <v>-2897</v>
      </c>
      <c r="F38" s="32">
        <v>-3540</v>
      </c>
      <c r="G38" s="32">
        <v>-4004</v>
      </c>
      <c r="H38" s="32">
        <v>-9282</v>
      </c>
      <c r="I38" s="32">
        <v>-10478</v>
      </c>
      <c r="J38" s="32">
        <v>-11102</v>
      </c>
      <c r="K38" s="32">
        <v>-10394</v>
      </c>
      <c r="L38" s="32">
        <v>-10703</v>
      </c>
      <c r="M38" s="32">
        <v>-14235</v>
      </c>
      <c r="N38" s="32">
        <v>-14977</v>
      </c>
      <c r="O38" s="32">
        <v>-11606</v>
      </c>
      <c r="P38" s="32">
        <v>-14625</v>
      </c>
      <c r="Q38" s="32">
        <v>-9282</v>
      </c>
      <c r="R38" s="32">
        <v>-11205</v>
      </c>
      <c r="S38" s="32">
        <v>-14293</v>
      </c>
      <c r="T38" s="32">
        <v>-9361</v>
      </c>
      <c r="U38" s="32">
        <v>-8063</v>
      </c>
      <c r="V38" s="32">
        <v>-7540</v>
      </c>
      <c r="W38" s="158" t="s">
        <v>19</v>
      </c>
    </row>
    <row r="39" spans="1:23" ht="10.7" customHeight="1" x14ac:dyDescent="0.3">
      <c r="A39" s="168" t="s">
        <v>20</v>
      </c>
      <c r="B39" s="32">
        <v>-5425</v>
      </c>
      <c r="C39" s="32">
        <v>-4745</v>
      </c>
      <c r="D39" s="32">
        <v>-3801</v>
      </c>
      <c r="E39" s="32">
        <v>-5498</v>
      </c>
      <c r="F39" s="32">
        <v>-5898</v>
      </c>
      <c r="G39" s="32">
        <v>-4797</v>
      </c>
      <c r="H39" s="32">
        <v>-8320</v>
      </c>
      <c r="I39" s="32">
        <v>-8307</v>
      </c>
      <c r="J39" s="32">
        <v>-8435</v>
      </c>
      <c r="K39" s="32">
        <v>-7876</v>
      </c>
      <c r="L39" s="32">
        <v>-7538</v>
      </c>
      <c r="M39" s="32">
        <v>-10591</v>
      </c>
      <c r="N39" s="32">
        <v>-12288</v>
      </c>
      <c r="O39" s="32">
        <v>-10034</v>
      </c>
      <c r="P39" s="32">
        <v>-11834</v>
      </c>
      <c r="Q39" s="32">
        <v>-8603</v>
      </c>
      <c r="R39" s="32">
        <v>-9847</v>
      </c>
      <c r="S39" s="32">
        <v>-11487</v>
      </c>
      <c r="T39" s="32">
        <v>-6954</v>
      </c>
      <c r="U39" s="32">
        <v>-5636</v>
      </c>
      <c r="V39" s="32">
        <v>-5324</v>
      </c>
      <c r="W39" s="158" t="s">
        <v>20</v>
      </c>
    </row>
    <row r="40" spans="1:23" ht="10.7" customHeight="1" x14ac:dyDescent="0.3">
      <c r="A40" s="168" t="s">
        <v>21</v>
      </c>
      <c r="B40" s="32">
        <v>-6188</v>
      </c>
      <c r="C40" s="32">
        <v>-5725</v>
      </c>
      <c r="D40" s="32">
        <v>-5168</v>
      </c>
      <c r="E40" s="32">
        <v>-6845</v>
      </c>
      <c r="F40" s="32">
        <v>-7451</v>
      </c>
      <c r="G40" s="32">
        <v>-6628</v>
      </c>
      <c r="H40" s="32">
        <v>-9563</v>
      </c>
      <c r="I40" s="32">
        <v>-10495</v>
      </c>
      <c r="J40" s="32">
        <v>-10795</v>
      </c>
      <c r="K40" s="32">
        <v>-9312</v>
      </c>
      <c r="L40" s="32">
        <v>-8570</v>
      </c>
      <c r="M40" s="32">
        <v>-11622</v>
      </c>
      <c r="N40" s="32">
        <v>-12484</v>
      </c>
      <c r="O40" s="32">
        <v>-10367</v>
      </c>
      <c r="P40" s="32">
        <v>-10902</v>
      </c>
      <c r="Q40" s="32">
        <v>-8698</v>
      </c>
      <c r="R40" s="32">
        <v>-10261</v>
      </c>
      <c r="S40" s="32">
        <v>-12675</v>
      </c>
      <c r="T40" s="32">
        <v>-8744</v>
      </c>
      <c r="U40" s="32">
        <v>-7639</v>
      </c>
      <c r="V40" s="32">
        <v>-8006</v>
      </c>
      <c r="W40" s="158" t="s">
        <v>21</v>
      </c>
    </row>
    <row r="41" spans="1:23" ht="10.7" customHeight="1" x14ac:dyDescent="0.3">
      <c r="A41" s="168" t="s">
        <v>22</v>
      </c>
      <c r="B41" s="32">
        <v>-5791</v>
      </c>
      <c r="C41" s="32">
        <v>-5808</v>
      </c>
      <c r="D41" s="32">
        <v>-5365</v>
      </c>
      <c r="E41" s="32">
        <v>-6537</v>
      </c>
      <c r="F41" s="32">
        <v>-7087</v>
      </c>
      <c r="G41" s="32">
        <v>-6007</v>
      </c>
      <c r="H41" s="32">
        <v>-8807</v>
      </c>
      <c r="I41" s="32">
        <v>-10013</v>
      </c>
      <c r="J41" s="32">
        <v>-10143</v>
      </c>
      <c r="K41" s="32">
        <v>-9635</v>
      </c>
      <c r="L41" s="32">
        <v>-9861</v>
      </c>
      <c r="M41" s="32">
        <v>-13840</v>
      </c>
      <c r="N41" s="32">
        <v>-14907</v>
      </c>
      <c r="O41" s="32">
        <v>-12434</v>
      </c>
      <c r="P41" s="32">
        <v>-13409</v>
      </c>
      <c r="Q41" s="32">
        <v>-9810</v>
      </c>
      <c r="R41" s="32">
        <v>-10150</v>
      </c>
      <c r="S41" s="32">
        <v>-12063</v>
      </c>
      <c r="T41" s="32">
        <v>-8780</v>
      </c>
      <c r="U41" s="32">
        <v>-8291</v>
      </c>
      <c r="V41" s="32">
        <v>-8701</v>
      </c>
      <c r="W41" s="158" t="s">
        <v>22</v>
      </c>
    </row>
    <row r="42" spans="1:23" ht="10.7" customHeight="1" x14ac:dyDescent="0.3">
      <c r="A42" s="168" t="s">
        <v>279</v>
      </c>
      <c r="B42" s="32">
        <v>-10158</v>
      </c>
      <c r="C42" s="32">
        <v>-11005</v>
      </c>
      <c r="D42" s="32">
        <v>-10682</v>
      </c>
      <c r="E42" s="32">
        <v>-13421</v>
      </c>
      <c r="F42" s="32">
        <v>-16816</v>
      </c>
      <c r="G42" s="32">
        <v>-12984</v>
      </c>
      <c r="H42" s="32">
        <v>-19395</v>
      </c>
      <c r="I42" s="32">
        <v>-22599</v>
      </c>
      <c r="J42" s="32">
        <v>-20701</v>
      </c>
      <c r="K42" s="32">
        <v>-20756</v>
      </c>
      <c r="L42" s="32">
        <v>-21248</v>
      </c>
      <c r="M42" s="32">
        <v>-31675</v>
      </c>
      <c r="N42" s="32">
        <v>-33080</v>
      </c>
      <c r="O42" s="32">
        <v>-30450</v>
      </c>
      <c r="P42" s="32">
        <v>-32939</v>
      </c>
      <c r="Q42" s="32">
        <v>-22939</v>
      </c>
      <c r="R42" s="32">
        <v>-28010</v>
      </c>
      <c r="S42" s="32">
        <v>-33810</v>
      </c>
      <c r="T42" s="32">
        <v>-24982</v>
      </c>
      <c r="U42" s="32">
        <v>-23716</v>
      </c>
      <c r="V42" s="32">
        <v>-25816</v>
      </c>
      <c r="W42" s="158" t="s">
        <v>278</v>
      </c>
    </row>
    <row r="43" spans="1:23" ht="6.95" customHeight="1" x14ac:dyDescent="0.3">
      <c r="A43" s="168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158"/>
    </row>
    <row r="44" spans="1:23" ht="10.7" customHeight="1" x14ac:dyDescent="0.3">
      <c r="A44" s="168" t="s">
        <v>297</v>
      </c>
      <c r="B44" s="32">
        <v>-6427</v>
      </c>
      <c r="C44" s="32">
        <v>-3262</v>
      </c>
      <c r="D44" s="32">
        <v>6173</v>
      </c>
      <c r="E44" s="32">
        <v>6137</v>
      </c>
      <c r="F44" s="32">
        <v>5764</v>
      </c>
      <c r="G44" s="32">
        <v>6152</v>
      </c>
      <c r="H44" s="32">
        <v>-14161</v>
      </c>
      <c r="I44" s="32">
        <v>-8017</v>
      </c>
      <c r="J44" s="32">
        <v>-2</v>
      </c>
      <c r="K44" s="32">
        <v>-1829</v>
      </c>
      <c r="L44" s="32">
        <v>6136</v>
      </c>
      <c r="M44" s="32">
        <v>-6228</v>
      </c>
      <c r="N44" s="32">
        <v>550</v>
      </c>
      <c r="O44" s="32">
        <v>17754</v>
      </c>
      <c r="P44" s="32">
        <v>24941</v>
      </c>
      <c r="Q44" s="32">
        <v>40212</v>
      </c>
      <c r="R44" s="32">
        <v>37228</v>
      </c>
      <c r="S44" s="32">
        <v>18081</v>
      </c>
      <c r="T44" s="32">
        <v>46198</v>
      </c>
      <c r="U44" s="32">
        <v>40049</v>
      </c>
      <c r="V44" s="236">
        <v>28010</v>
      </c>
      <c r="W44" s="158" t="s">
        <v>297</v>
      </c>
    </row>
    <row r="45" spans="1:23" ht="10.7" customHeight="1" x14ac:dyDescent="0.3">
      <c r="A45" s="168" t="s">
        <v>298</v>
      </c>
      <c r="B45" s="32">
        <v>-25261</v>
      </c>
      <c r="C45" s="32">
        <v>-23800</v>
      </c>
      <c r="D45" s="32">
        <v>-20219</v>
      </c>
      <c r="E45" s="32">
        <v>-27008</v>
      </c>
      <c r="F45" s="32">
        <v>-31049</v>
      </c>
      <c r="G45" s="32">
        <v>-26828</v>
      </c>
      <c r="H45" s="32">
        <v>-43579</v>
      </c>
      <c r="I45" s="32">
        <v>-47383</v>
      </c>
      <c r="J45" s="32">
        <v>-48160</v>
      </c>
      <c r="K45" s="32">
        <v>-44742</v>
      </c>
      <c r="L45" s="32">
        <v>-44073</v>
      </c>
      <c r="M45" s="32">
        <v>-61696</v>
      </c>
      <c r="N45" s="32">
        <v>-66871</v>
      </c>
      <c r="O45" s="32">
        <v>-55436</v>
      </c>
      <c r="P45" s="32">
        <v>-62560</v>
      </c>
      <c r="Q45" s="32">
        <v>-44453</v>
      </c>
      <c r="R45" s="32">
        <v>-51213</v>
      </c>
      <c r="S45" s="32">
        <v>-62781</v>
      </c>
      <c r="T45" s="32">
        <v>-42447</v>
      </c>
      <c r="U45" s="32">
        <v>-38018</v>
      </c>
      <c r="V45" s="236">
        <v>-37919</v>
      </c>
      <c r="W45" s="158" t="s">
        <v>298</v>
      </c>
    </row>
    <row r="46" spans="1:23" ht="6.95" customHeight="1" x14ac:dyDescent="0.3">
      <c r="A46" s="168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236"/>
      <c r="W46" s="158"/>
    </row>
    <row r="47" spans="1:23" ht="10.7" customHeight="1" x14ac:dyDescent="0.3">
      <c r="A47" s="169" t="s">
        <v>225</v>
      </c>
      <c r="B47" s="32">
        <v>-1335</v>
      </c>
      <c r="C47" s="32">
        <v>10965</v>
      </c>
      <c r="D47" s="32">
        <v>9618</v>
      </c>
      <c r="E47" s="32">
        <v>22721</v>
      </c>
      <c r="F47" s="32">
        <v>9419</v>
      </c>
      <c r="G47" s="32">
        <v>2098</v>
      </c>
      <c r="H47" s="32">
        <v>3612</v>
      </c>
      <c r="I47" s="32">
        <v>28809</v>
      </c>
      <c r="J47" s="32">
        <v>27794</v>
      </c>
      <c r="K47" s="32">
        <v>22035</v>
      </c>
      <c r="L47" s="32">
        <v>9324</v>
      </c>
      <c r="M47" s="32">
        <v>9538</v>
      </c>
      <c r="N47" s="32">
        <v>5777</v>
      </c>
      <c r="O47" s="32">
        <v>-1670</v>
      </c>
      <c r="P47" s="32">
        <v>-67</v>
      </c>
      <c r="Q47" s="32">
        <v>-2337</v>
      </c>
      <c r="R47" s="32">
        <v>-15748</v>
      </c>
      <c r="S47" s="32">
        <v>11423</v>
      </c>
      <c r="T47" s="32">
        <v>28101</v>
      </c>
      <c r="U47" s="32">
        <v>33507</v>
      </c>
      <c r="V47" s="32">
        <v>25643</v>
      </c>
      <c r="W47" s="167" t="s">
        <v>225</v>
      </c>
    </row>
    <row r="48" spans="1:23" ht="6.95" customHeight="1" x14ac:dyDescent="0.3">
      <c r="A48" s="168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58"/>
    </row>
    <row r="49" spans="1:23" ht="10.7" customHeight="1" x14ac:dyDescent="0.3">
      <c r="A49" s="168" t="s">
        <v>11</v>
      </c>
      <c r="B49" s="32">
        <v>391</v>
      </c>
      <c r="C49" s="32">
        <v>1769</v>
      </c>
      <c r="D49" s="32">
        <v>862</v>
      </c>
      <c r="E49" s="32">
        <v>2557</v>
      </c>
      <c r="F49" s="32">
        <v>1800</v>
      </c>
      <c r="G49" s="32">
        <v>785</v>
      </c>
      <c r="H49" s="32">
        <v>489</v>
      </c>
      <c r="I49" s="32">
        <v>4069</v>
      </c>
      <c r="J49" s="32">
        <v>2941</v>
      </c>
      <c r="K49" s="32">
        <v>1726</v>
      </c>
      <c r="L49" s="32">
        <v>519</v>
      </c>
      <c r="M49" s="32">
        <v>650</v>
      </c>
      <c r="N49" s="32">
        <v>-49</v>
      </c>
      <c r="O49" s="32">
        <v>-626</v>
      </c>
      <c r="P49" s="32">
        <v>-1097</v>
      </c>
      <c r="Q49" s="32">
        <v>-1183</v>
      </c>
      <c r="R49" s="32">
        <v>-1773</v>
      </c>
      <c r="S49" s="32">
        <v>760</v>
      </c>
      <c r="T49" s="32">
        <v>2669</v>
      </c>
      <c r="U49" s="32">
        <v>3102</v>
      </c>
      <c r="V49" s="32">
        <v>2224</v>
      </c>
      <c r="W49" s="158" t="s">
        <v>11</v>
      </c>
    </row>
    <row r="50" spans="1:23" ht="10.7" customHeight="1" x14ac:dyDescent="0.3">
      <c r="A50" s="168" t="s">
        <v>12</v>
      </c>
      <c r="B50" s="32">
        <v>-551</v>
      </c>
      <c r="C50" s="32">
        <v>931</v>
      </c>
      <c r="D50" s="32">
        <v>-54</v>
      </c>
      <c r="E50" s="32">
        <v>1114</v>
      </c>
      <c r="F50" s="32">
        <v>191</v>
      </c>
      <c r="G50" s="32">
        <v>-220</v>
      </c>
      <c r="H50" s="32">
        <v>-506</v>
      </c>
      <c r="I50" s="32">
        <v>1494</v>
      </c>
      <c r="J50" s="32">
        <v>1296</v>
      </c>
      <c r="K50" s="32">
        <v>791</v>
      </c>
      <c r="L50" s="32">
        <v>136</v>
      </c>
      <c r="M50" s="32">
        <v>215</v>
      </c>
      <c r="N50" s="32">
        <v>-362</v>
      </c>
      <c r="O50" s="32">
        <v>-916</v>
      </c>
      <c r="P50" s="32">
        <v>-946</v>
      </c>
      <c r="Q50" s="32">
        <v>-672</v>
      </c>
      <c r="R50" s="32">
        <v>-1120</v>
      </c>
      <c r="S50" s="32">
        <v>385</v>
      </c>
      <c r="T50" s="32">
        <v>1816</v>
      </c>
      <c r="U50" s="32">
        <v>1854</v>
      </c>
      <c r="V50" s="32">
        <v>835</v>
      </c>
      <c r="W50" s="158" t="s">
        <v>12</v>
      </c>
    </row>
    <row r="51" spans="1:23" ht="10.7" customHeight="1" x14ac:dyDescent="0.3">
      <c r="A51" s="168" t="s">
        <v>13</v>
      </c>
      <c r="B51" s="32">
        <v>-827</v>
      </c>
      <c r="C51" s="32">
        <v>26</v>
      </c>
      <c r="D51" s="32">
        <v>-325</v>
      </c>
      <c r="E51" s="32">
        <v>596</v>
      </c>
      <c r="F51" s="32">
        <v>-190</v>
      </c>
      <c r="G51" s="32">
        <v>-259</v>
      </c>
      <c r="H51" s="32">
        <v>65</v>
      </c>
      <c r="I51" s="32">
        <v>1056</v>
      </c>
      <c r="J51" s="32">
        <v>1006</v>
      </c>
      <c r="K51" s="32">
        <v>800</v>
      </c>
      <c r="L51" s="32">
        <v>473</v>
      </c>
      <c r="M51" s="32">
        <v>282</v>
      </c>
      <c r="N51" s="32">
        <v>114</v>
      </c>
      <c r="O51" s="32">
        <v>-197</v>
      </c>
      <c r="P51" s="32">
        <v>-251</v>
      </c>
      <c r="Q51" s="32">
        <v>-72</v>
      </c>
      <c r="R51" s="32">
        <v>-550</v>
      </c>
      <c r="S51" s="32">
        <v>407</v>
      </c>
      <c r="T51" s="32">
        <v>1019</v>
      </c>
      <c r="U51" s="32">
        <v>1206</v>
      </c>
      <c r="V51" s="32">
        <v>712</v>
      </c>
      <c r="W51" s="158" t="s">
        <v>13</v>
      </c>
    </row>
    <row r="52" spans="1:23" ht="10.7" customHeight="1" x14ac:dyDescent="0.3">
      <c r="A52" s="168" t="s">
        <v>14</v>
      </c>
      <c r="B52" s="32">
        <v>-369</v>
      </c>
      <c r="C52" s="32">
        <v>188</v>
      </c>
      <c r="D52" s="32">
        <v>64</v>
      </c>
      <c r="E52" s="32">
        <v>424</v>
      </c>
      <c r="F52" s="32">
        <v>56</v>
      </c>
      <c r="G52" s="32">
        <v>-366</v>
      </c>
      <c r="H52" s="32">
        <v>116</v>
      </c>
      <c r="I52" s="32">
        <v>543</v>
      </c>
      <c r="J52" s="32">
        <v>669</v>
      </c>
      <c r="K52" s="32">
        <v>471</v>
      </c>
      <c r="L52" s="32">
        <v>231</v>
      </c>
      <c r="M52" s="32">
        <v>272</v>
      </c>
      <c r="N52" s="32">
        <v>391</v>
      </c>
      <c r="O52" s="32">
        <v>-256</v>
      </c>
      <c r="P52" s="32">
        <v>-146</v>
      </c>
      <c r="Q52" s="32">
        <v>-217</v>
      </c>
      <c r="R52" s="32">
        <v>-170</v>
      </c>
      <c r="S52" s="32">
        <v>435</v>
      </c>
      <c r="T52" s="32">
        <v>461</v>
      </c>
      <c r="U52" s="32">
        <v>518</v>
      </c>
      <c r="V52" s="32">
        <v>529</v>
      </c>
      <c r="W52" s="158" t="s">
        <v>14</v>
      </c>
    </row>
    <row r="53" spans="1:23" ht="10.7" customHeight="1" x14ac:dyDescent="0.3">
      <c r="A53" s="168" t="s">
        <v>15</v>
      </c>
      <c r="B53" s="32">
        <v>1425</v>
      </c>
      <c r="C53" s="32">
        <v>1546</v>
      </c>
      <c r="D53" s="32">
        <v>1423</v>
      </c>
      <c r="E53" s="32">
        <v>2658</v>
      </c>
      <c r="F53" s="32">
        <v>1300</v>
      </c>
      <c r="G53" s="32">
        <v>221</v>
      </c>
      <c r="H53" s="32">
        <v>667</v>
      </c>
      <c r="I53" s="32">
        <v>1467</v>
      </c>
      <c r="J53" s="32">
        <v>2236</v>
      </c>
      <c r="K53" s="32">
        <v>1918</v>
      </c>
      <c r="L53" s="32">
        <v>1002</v>
      </c>
      <c r="M53" s="32">
        <v>912</v>
      </c>
      <c r="N53" s="32">
        <v>1579</v>
      </c>
      <c r="O53" s="32">
        <v>1120</v>
      </c>
      <c r="P53" s="32">
        <v>1422</v>
      </c>
      <c r="Q53" s="32">
        <v>1584</v>
      </c>
      <c r="R53" s="32">
        <v>-253</v>
      </c>
      <c r="S53" s="32">
        <v>519</v>
      </c>
      <c r="T53" s="32">
        <v>953</v>
      </c>
      <c r="U53" s="32">
        <v>1278</v>
      </c>
      <c r="V53" s="32">
        <v>1705</v>
      </c>
      <c r="W53" s="158" t="s">
        <v>15</v>
      </c>
    </row>
    <row r="54" spans="1:23" ht="10.7" customHeight="1" x14ac:dyDescent="0.3">
      <c r="A54" s="168" t="s">
        <v>16</v>
      </c>
      <c r="B54" s="32">
        <v>1057</v>
      </c>
      <c r="C54" s="32">
        <v>2235</v>
      </c>
      <c r="D54" s="32">
        <v>2275</v>
      </c>
      <c r="E54" s="32">
        <v>4597</v>
      </c>
      <c r="F54" s="32">
        <v>3096</v>
      </c>
      <c r="G54" s="32">
        <v>789</v>
      </c>
      <c r="H54" s="32">
        <v>233</v>
      </c>
      <c r="I54" s="32">
        <v>2467</v>
      </c>
      <c r="J54" s="32">
        <v>3072</v>
      </c>
      <c r="K54" s="32">
        <v>2330</v>
      </c>
      <c r="L54" s="32">
        <v>752</v>
      </c>
      <c r="M54" s="32">
        <v>228</v>
      </c>
      <c r="N54" s="32">
        <v>495</v>
      </c>
      <c r="O54" s="32">
        <v>238</v>
      </c>
      <c r="P54" s="32">
        <v>208</v>
      </c>
      <c r="Q54" s="32">
        <v>-338</v>
      </c>
      <c r="R54" s="32">
        <v>-2319</v>
      </c>
      <c r="S54" s="32">
        <v>587</v>
      </c>
      <c r="T54" s="32">
        <v>1940</v>
      </c>
      <c r="U54" s="32">
        <v>2379</v>
      </c>
      <c r="V54" s="32">
        <v>2668</v>
      </c>
      <c r="W54" s="158" t="s">
        <v>16</v>
      </c>
    </row>
    <row r="55" spans="1:23" ht="10.7" customHeight="1" x14ac:dyDescent="0.3">
      <c r="A55" s="168" t="s">
        <v>17</v>
      </c>
      <c r="B55" s="32">
        <v>506</v>
      </c>
      <c r="C55" s="32">
        <v>2066</v>
      </c>
      <c r="D55" s="32">
        <v>2041</v>
      </c>
      <c r="E55" s="32">
        <v>4309</v>
      </c>
      <c r="F55" s="32">
        <v>2899</v>
      </c>
      <c r="G55" s="32">
        <v>1031</v>
      </c>
      <c r="H55" s="32">
        <v>864</v>
      </c>
      <c r="I55" s="32">
        <v>5362</v>
      </c>
      <c r="J55" s="32">
        <v>4902</v>
      </c>
      <c r="K55" s="32">
        <v>4385</v>
      </c>
      <c r="L55" s="32">
        <v>1898</v>
      </c>
      <c r="M55" s="32">
        <v>1716</v>
      </c>
      <c r="N55" s="32">
        <v>1031</v>
      </c>
      <c r="O55" s="32">
        <v>-107</v>
      </c>
      <c r="P55" s="32">
        <v>97</v>
      </c>
      <c r="Q55" s="32">
        <v>-761</v>
      </c>
      <c r="R55" s="32">
        <v>-2372</v>
      </c>
      <c r="S55" s="32">
        <v>1769</v>
      </c>
      <c r="T55" s="32">
        <v>4187</v>
      </c>
      <c r="U55" s="32">
        <v>4233</v>
      </c>
      <c r="V55" s="32">
        <v>3206</v>
      </c>
      <c r="W55" s="158" t="s">
        <v>17</v>
      </c>
    </row>
    <row r="56" spans="1:23" ht="6.95" customHeight="1" x14ac:dyDescent="0.3">
      <c r="A56" s="168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158"/>
    </row>
    <row r="57" spans="1:23" ht="10.7" customHeight="1" x14ac:dyDescent="0.3">
      <c r="A57" s="168" t="s">
        <v>18</v>
      </c>
      <c r="B57" s="32">
        <v>-783</v>
      </c>
      <c r="C57" s="32">
        <v>1040</v>
      </c>
      <c r="D57" s="32">
        <v>1015</v>
      </c>
      <c r="E57" s="32">
        <v>2113</v>
      </c>
      <c r="F57" s="32">
        <v>483</v>
      </c>
      <c r="G57" s="32">
        <v>249</v>
      </c>
      <c r="H57" s="32">
        <v>400</v>
      </c>
      <c r="I57" s="32">
        <v>4021</v>
      </c>
      <c r="J57" s="32">
        <v>3490</v>
      </c>
      <c r="K57" s="32">
        <v>2611</v>
      </c>
      <c r="L57" s="32">
        <v>1119</v>
      </c>
      <c r="M57" s="32">
        <v>1193</v>
      </c>
      <c r="N57" s="32">
        <v>503</v>
      </c>
      <c r="O57" s="32">
        <v>-833</v>
      </c>
      <c r="P57" s="32">
        <v>-412</v>
      </c>
      <c r="Q57" s="32">
        <v>-405</v>
      </c>
      <c r="R57" s="32">
        <v>-1924</v>
      </c>
      <c r="S57" s="32">
        <v>2051</v>
      </c>
      <c r="T57" s="32">
        <v>4328</v>
      </c>
      <c r="U57" s="32">
        <v>5201</v>
      </c>
      <c r="V57" s="32">
        <v>3192</v>
      </c>
      <c r="W57" s="158" t="s">
        <v>18</v>
      </c>
    </row>
    <row r="58" spans="1:23" ht="10.7" customHeight="1" x14ac:dyDescent="0.3">
      <c r="A58" s="168" t="s">
        <v>19</v>
      </c>
      <c r="B58" s="32">
        <v>-1253</v>
      </c>
      <c r="C58" s="32">
        <v>11</v>
      </c>
      <c r="D58" s="32">
        <v>83</v>
      </c>
      <c r="E58" s="32">
        <v>624</v>
      </c>
      <c r="F58" s="32">
        <v>-445</v>
      </c>
      <c r="G58" s="32">
        <v>-506</v>
      </c>
      <c r="H58" s="32">
        <v>403</v>
      </c>
      <c r="I58" s="32">
        <v>1935</v>
      </c>
      <c r="J58" s="32">
        <v>1882</v>
      </c>
      <c r="K58" s="32">
        <v>1703</v>
      </c>
      <c r="L58" s="32">
        <v>515</v>
      </c>
      <c r="M58" s="32">
        <v>731</v>
      </c>
      <c r="N58" s="32">
        <v>403</v>
      </c>
      <c r="O58" s="32">
        <v>-337</v>
      </c>
      <c r="P58" s="32">
        <v>-356</v>
      </c>
      <c r="Q58" s="32">
        <v>-62</v>
      </c>
      <c r="R58" s="32">
        <v>-1186</v>
      </c>
      <c r="S58" s="32">
        <v>1407</v>
      </c>
      <c r="T58" s="32">
        <v>3326</v>
      </c>
      <c r="U58" s="32">
        <v>3666</v>
      </c>
      <c r="V58" s="32">
        <v>2384</v>
      </c>
      <c r="W58" s="158" t="s">
        <v>19</v>
      </c>
    </row>
    <row r="59" spans="1:23" ht="10.7" customHeight="1" x14ac:dyDescent="0.3">
      <c r="A59" s="168" t="s">
        <v>20</v>
      </c>
      <c r="B59" s="32">
        <v>-979</v>
      </c>
      <c r="C59" s="32">
        <v>-365</v>
      </c>
      <c r="D59" s="32">
        <v>-183</v>
      </c>
      <c r="E59" s="32">
        <v>325</v>
      </c>
      <c r="F59" s="32">
        <v>-618</v>
      </c>
      <c r="G59" s="32">
        <v>-443</v>
      </c>
      <c r="H59" s="32">
        <v>-68</v>
      </c>
      <c r="I59" s="32">
        <v>1039</v>
      </c>
      <c r="J59" s="32">
        <v>1199</v>
      </c>
      <c r="K59" s="32">
        <v>899</v>
      </c>
      <c r="L59" s="32">
        <v>389</v>
      </c>
      <c r="M59" s="32">
        <v>428</v>
      </c>
      <c r="N59" s="32">
        <v>438</v>
      </c>
      <c r="O59" s="32">
        <v>-229</v>
      </c>
      <c r="P59" s="32">
        <v>61</v>
      </c>
      <c r="Q59" s="32">
        <v>-143</v>
      </c>
      <c r="R59" s="32">
        <v>-895</v>
      </c>
      <c r="S59" s="32">
        <v>789</v>
      </c>
      <c r="T59" s="32">
        <v>1755</v>
      </c>
      <c r="U59" s="32">
        <v>2059</v>
      </c>
      <c r="V59" s="32">
        <v>1621</v>
      </c>
      <c r="W59" s="158" t="s">
        <v>20</v>
      </c>
    </row>
    <row r="60" spans="1:23" ht="10.7" customHeight="1" x14ac:dyDescent="0.3">
      <c r="A60" s="168" t="s">
        <v>21</v>
      </c>
      <c r="B60" s="32">
        <v>-317</v>
      </c>
      <c r="C60" s="32">
        <v>-176</v>
      </c>
      <c r="D60" s="32">
        <v>101</v>
      </c>
      <c r="E60" s="32">
        <v>351</v>
      </c>
      <c r="F60" s="32">
        <v>-86</v>
      </c>
      <c r="G60" s="32">
        <v>-105</v>
      </c>
      <c r="H60" s="32">
        <v>-75</v>
      </c>
      <c r="I60" s="32">
        <v>1230</v>
      </c>
      <c r="J60" s="32">
        <v>961</v>
      </c>
      <c r="K60" s="32">
        <v>962</v>
      </c>
      <c r="L60" s="32">
        <v>15</v>
      </c>
      <c r="M60" s="32">
        <v>290</v>
      </c>
      <c r="N60" s="32">
        <v>-55</v>
      </c>
      <c r="O60" s="32">
        <v>-346</v>
      </c>
      <c r="P60" s="32">
        <v>-231</v>
      </c>
      <c r="Q60" s="32">
        <v>-121</v>
      </c>
      <c r="R60" s="32">
        <v>-1245</v>
      </c>
      <c r="S60" s="32">
        <v>334</v>
      </c>
      <c r="T60" s="32">
        <v>1500</v>
      </c>
      <c r="U60" s="32">
        <v>2015</v>
      </c>
      <c r="V60" s="32">
        <v>1373</v>
      </c>
      <c r="W60" s="158" t="s">
        <v>21</v>
      </c>
    </row>
    <row r="61" spans="1:23" ht="10.7" customHeight="1" x14ac:dyDescent="0.3">
      <c r="A61" s="168" t="s">
        <v>22</v>
      </c>
      <c r="B61" s="32">
        <v>34</v>
      </c>
      <c r="C61" s="32">
        <v>162</v>
      </c>
      <c r="D61" s="32">
        <v>341</v>
      </c>
      <c r="E61" s="32">
        <v>640</v>
      </c>
      <c r="F61" s="32">
        <v>6</v>
      </c>
      <c r="G61" s="32">
        <v>49</v>
      </c>
      <c r="H61" s="32">
        <v>-21</v>
      </c>
      <c r="I61" s="32">
        <v>816</v>
      </c>
      <c r="J61" s="32">
        <v>1023</v>
      </c>
      <c r="K61" s="32">
        <v>775</v>
      </c>
      <c r="L61" s="32">
        <v>205</v>
      </c>
      <c r="M61" s="32">
        <v>3</v>
      </c>
      <c r="N61" s="32">
        <v>-456</v>
      </c>
      <c r="O61" s="32">
        <v>-442</v>
      </c>
      <c r="P61" s="32">
        <v>-77</v>
      </c>
      <c r="Q61" s="32">
        <v>-618</v>
      </c>
      <c r="R61" s="32">
        <v>-1327</v>
      </c>
      <c r="S61" s="32">
        <v>28</v>
      </c>
      <c r="T61" s="32">
        <v>704</v>
      </c>
      <c r="U61" s="32">
        <v>1319</v>
      </c>
      <c r="V61" s="32">
        <v>916</v>
      </c>
      <c r="W61" s="158" t="s">
        <v>22</v>
      </c>
    </row>
    <row r="62" spans="1:23" ht="10.7" customHeight="1" x14ac:dyDescent="0.3">
      <c r="A62" s="168" t="s">
        <v>279</v>
      </c>
      <c r="B62" s="32">
        <v>331</v>
      </c>
      <c r="C62" s="32">
        <v>1532</v>
      </c>
      <c r="D62" s="32">
        <v>1975</v>
      </c>
      <c r="E62" s="32">
        <v>2413</v>
      </c>
      <c r="F62" s="32">
        <v>927</v>
      </c>
      <c r="G62" s="32">
        <v>873</v>
      </c>
      <c r="H62" s="32">
        <v>1045</v>
      </c>
      <c r="I62" s="32">
        <v>3310</v>
      </c>
      <c r="J62" s="32">
        <v>3117</v>
      </c>
      <c r="K62" s="32">
        <v>2664</v>
      </c>
      <c r="L62" s="32">
        <v>2070</v>
      </c>
      <c r="M62" s="32">
        <v>2618</v>
      </c>
      <c r="N62" s="32">
        <v>1745</v>
      </c>
      <c r="O62" s="32">
        <v>1261</v>
      </c>
      <c r="P62" s="32">
        <v>1661</v>
      </c>
      <c r="Q62" s="32">
        <v>671</v>
      </c>
      <c r="R62" s="32">
        <v>-614</v>
      </c>
      <c r="S62" s="32">
        <v>1952</v>
      </c>
      <c r="T62" s="32">
        <v>3443</v>
      </c>
      <c r="U62" s="32">
        <v>4677</v>
      </c>
      <c r="V62" s="32">
        <v>4278</v>
      </c>
      <c r="W62" s="158" t="s">
        <v>278</v>
      </c>
    </row>
    <row r="63" spans="1:23" ht="6.95" customHeight="1" x14ac:dyDescent="0.3">
      <c r="A63" s="168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158"/>
    </row>
    <row r="64" spans="1:23" ht="10.7" customHeight="1" x14ac:dyDescent="0.3">
      <c r="A64" s="168" t="s">
        <v>297</v>
      </c>
      <c r="B64" s="32">
        <v>2930</v>
      </c>
      <c r="C64" s="32">
        <v>5981</v>
      </c>
      <c r="D64" s="32">
        <v>5773</v>
      </c>
      <c r="E64" s="32">
        <v>11620</v>
      </c>
      <c r="F64" s="32">
        <v>7281</v>
      </c>
      <c r="G64" s="32">
        <v>1935</v>
      </c>
      <c r="H64" s="32">
        <v>1854</v>
      </c>
      <c r="I64" s="32">
        <v>9552</v>
      </c>
      <c r="J64" s="32">
        <v>10514</v>
      </c>
      <c r="K64" s="32">
        <v>8868</v>
      </c>
      <c r="L64" s="32">
        <v>3785</v>
      </c>
      <c r="M64" s="32">
        <v>3037</v>
      </c>
      <c r="N64" s="32">
        <v>3328</v>
      </c>
      <c r="O64" s="32">
        <v>1258</v>
      </c>
      <c r="P64" s="32">
        <v>1735</v>
      </c>
      <c r="Q64" s="32">
        <v>673</v>
      </c>
      <c r="R64" s="32">
        <v>-4873</v>
      </c>
      <c r="S64" s="32">
        <v>3079</v>
      </c>
      <c r="T64" s="32">
        <v>7116</v>
      </c>
      <c r="U64" s="32">
        <v>7850</v>
      </c>
      <c r="V64" s="236">
        <v>7745</v>
      </c>
      <c r="W64" s="158" t="s">
        <v>297</v>
      </c>
    </row>
    <row r="65" spans="1:23" ht="10.7" customHeight="1" x14ac:dyDescent="0.3">
      <c r="A65" s="168" t="s">
        <v>298</v>
      </c>
      <c r="B65" s="32">
        <v>-2440</v>
      </c>
      <c r="C65" s="32">
        <v>-93</v>
      </c>
      <c r="D65" s="32">
        <v>725</v>
      </c>
      <c r="E65" s="32">
        <v>2403</v>
      </c>
      <c r="F65" s="32">
        <v>-1056</v>
      </c>
      <c r="G65" s="32">
        <v>-862</v>
      </c>
      <c r="H65" s="32">
        <v>245</v>
      </c>
      <c r="I65" s="32">
        <v>5839</v>
      </c>
      <c r="J65" s="32">
        <v>5726</v>
      </c>
      <c r="K65" s="32">
        <v>4833</v>
      </c>
      <c r="L65" s="32">
        <v>1341</v>
      </c>
      <c r="M65" s="32">
        <v>1942</v>
      </c>
      <c r="N65" s="32">
        <v>339</v>
      </c>
      <c r="O65" s="32">
        <v>-1603</v>
      </c>
      <c r="P65" s="32">
        <v>-708</v>
      </c>
      <c r="Q65" s="32">
        <v>-1457</v>
      </c>
      <c r="R65" s="32">
        <v>-5717</v>
      </c>
      <c r="S65" s="32">
        <v>2554</v>
      </c>
      <c r="T65" s="32">
        <v>8063</v>
      </c>
      <c r="U65" s="32">
        <v>10188</v>
      </c>
      <c r="V65" s="236">
        <v>7047</v>
      </c>
      <c r="W65" s="158" t="s">
        <v>298</v>
      </c>
    </row>
    <row r="66" spans="1:23" ht="6.95" customHeight="1" x14ac:dyDescent="0.3">
      <c r="A66" s="168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236"/>
      <c r="W66" s="158"/>
    </row>
    <row r="67" spans="1:23" ht="10.7" customHeight="1" x14ac:dyDescent="0.3">
      <c r="A67" s="169" t="s">
        <v>226</v>
      </c>
      <c r="B67" s="32">
        <v>188875</v>
      </c>
      <c r="C67" s="32">
        <v>168851</v>
      </c>
      <c r="D67" s="32">
        <v>138633</v>
      </c>
      <c r="E67" s="32">
        <v>113100</v>
      </c>
      <c r="F67" s="32">
        <v>100597</v>
      </c>
      <c r="G67" s="32">
        <v>94153</v>
      </c>
      <c r="H67" s="32">
        <v>142437</v>
      </c>
      <c r="I67" s="32">
        <v>75799</v>
      </c>
      <c r="J67" s="32">
        <v>82753</v>
      </c>
      <c r="K67" s="32">
        <v>74131</v>
      </c>
      <c r="L67" s="32">
        <v>57396</v>
      </c>
      <c r="M67" s="32">
        <v>94768</v>
      </c>
      <c r="N67" s="32">
        <v>133617</v>
      </c>
      <c r="O67" s="32">
        <v>116162</v>
      </c>
      <c r="P67" s="32">
        <v>170094</v>
      </c>
      <c r="Q67" s="32">
        <v>134666</v>
      </c>
      <c r="R67" s="32">
        <v>168373</v>
      </c>
      <c r="S67" s="32">
        <v>150517</v>
      </c>
      <c r="T67" s="32">
        <v>43882</v>
      </c>
      <c r="U67" s="32">
        <v>44612</v>
      </c>
      <c r="V67" s="32">
        <v>64218</v>
      </c>
      <c r="W67" s="167" t="s">
        <v>226</v>
      </c>
    </row>
    <row r="68" spans="1:23" ht="6.95" customHeight="1" x14ac:dyDescent="0.3">
      <c r="A68" s="168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158"/>
    </row>
    <row r="69" spans="1:23" ht="10.7" customHeight="1" x14ac:dyDescent="0.3">
      <c r="A69" s="168" t="s">
        <v>11</v>
      </c>
      <c r="B69" s="32">
        <v>13206</v>
      </c>
      <c r="C69" s="32">
        <v>10885</v>
      </c>
      <c r="D69" s="32">
        <v>9447</v>
      </c>
      <c r="E69" s="32">
        <v>7607</v>
      </c>
      <c r="F69" s="32">
        <v>7428</v>
      </c>
      <c r="G69" s="32">
        <v>7836</v>
      </c>
      <c r="H69" s="32">
        <v>12689</v>
      </c>
      <c r="I69" s="32">
        <v>6103</v>
      </c>
      <c r="J69" s="32">
        <v>6922</v>
      </c>
      <c r="K69" s="32">
        <v>7738</v>
      </c>
      <c r="L69" s="32">
        <v>6136</v>
      </c>
      <c r="M69" s="32">
        <v>8245</v>
      </c>
      <c r="N69" s="32">
        <v>11981</v>
      </c>
      <c r="O69" s="32">
        <v>11306</v>
      </c>
      <c r="P69" s="32">
        <v>16134</v>
      </c>
      <c r="Q69" s="32">
        <v>10970</v>
      </c>
      <c r="R69" s="32">
        <v>10734</v>
      </c>
      <c r="S69" s="32">
        <v>7579</v>
      </c>
      <c r="T69" s="32">
        <v>2803</v>
      </c>
      <c r="U69" s="32">
        <v>2760</v>
      </c>
      <c r="V69" s="32">
        <v>4531</v>
      </c>
      <c r="W69" s="158" t="s">
        <v>11</v>
      </c>
    </row>
    <row r="70" spans="1:23" ht="10.7" customHeight="1" x14ac:dyDescent="0.3">
      <c r="A70" s="168" t="s">
        <v>12</v>
      </c>
      <c r="B70" s="32">
        <v>8621</v>
      </c>
      <c r="C70" s="32">
        <v>5286</v>
      </c>
      <c r="D70" s="32">
        <v>3989</v>
      </c>
      <c r="E70" s="32">
        <v>2109</v>
      </c>
      <c r="F70" s="32">
        <v>1993</v>
      </c>
      <c r="G70" s="32">
        <v>2078</v>
      </c>
      <c r="H70" s="32">
        <v>4890</v>
      </c>
      <c r="I70" s="32">
        <v>855</v>
      </c>
      <c r="J70" s="32">
        <v>1246</v>
      </c>
      <c r="K70" s="32">
        <v>1714</v>
      </c>
      <c r="L70" s="32">
        <v>323</v>
      </c>
      <c r="M70" s="32">
        <v>1183</v>
      </c>
      <c r="N70" s="32">
        <v>3997</v>
      </c>
      <c r="O70" s="32">
        <v>4564</v>
      </c>
      <c r="P70" s="32">
        <v>7750</v>
      </c>
      <c r="Q70" s="32">
        <v>4565</v>
      </c>
      <c r="R70" s="32">
        <v>5464</v>
      </c>
      <c r="S70" s="32">
        <v>4467</v>
      </c>
      <c r="T70" s="32">
        <v>245</v>
      </c>
      <c r="U70" s="32">
        <v>671</v>
      </c>
      <c r="V70" s="32">
        <v>260</v>
      </c>
      <c r="W70" s="158" t="s">
        <v>12</v>
      </c>
    </row>
    <row r="71" spans="1:23" ht="10.7" customHeight="1" x14ac:dyDescent="0.3">
      <c r="A71" s="168" t="s">
        <v>13</v>
      </c>
      <c r="B71" s="32">
        <v>4307</v>
      </c>
      <c r="C71" s="32">
        <v>1729</v>
      </c>
      <c r="D71" s="32">
        <v>470</v>
      </c>
      <c r="E71" s="32">
        <v>-870</v>
      </c>
      <c r="F71" s="32">
        <v>97</v>
      </c>
      <c r="G71" s="32">
        <v>-67</v>
      </c>
      <c r="H71" s="32">
        <v>2181</v>
      </c>
      <c r="I71" s="32">
        <v>-850</v>
      </c>
      <c r="J71" s="32">
        <v>538</v>
      </c>
      <c r="K71" s="32">
        <v>489</v>
      </c>
      <c r="L71" s="32">
        <v>-791</v>
      </c>
      <c r="M71" s="32">
        <v>538</v>
      </c>
      <c r="N71" s="32">
        <v>1742</v>
      </c>
      <c r="O71" s="32">
        <v>1472</v>
      </c>
      <c r="P71" s="32">
        <v>3738</v>
      </c>
      <c r="Q71" s="32">
        <v>1825</v>
      </c>
      <c r="R71" s="32">
        <v>2879</v>
      </c>
      <c r="S71" s="32">
        <v>2708</v>
      </c>
      <c r="T71" s="32">
        <v>120</v>
      </c>
      <c r="U71" s="32">
        <v>200</v>
      </c>
      <c r="V71" s="32">
        <v>-110</v>
      </c>
      <c r="W71" s="158" t="s">
        <v>13</v>
      </c>
    </row>
    <row r="72" spans="1:23" ht="10.7" customHeight="1" x14ac:dyDescent="0.3">
      <c r="A72" s="168" t="s">
        <v>14</v>
      </c>
      <c r="B72" s="32">
        <v>6495</v>
      </c>
      <c r="C72" s="32">
        <v>6173</v>
      </c>
      <c r="D72" s="32">
        <v>4539</v>
      </c>
      <c r="E72" s="32">
        <v>3398</v>
      </c>
      <c r="F72" s="32">
        <v>3103</v>
      </c>
      <c r="G72" s="32">
        <v>3542</v>
      </c>
      <c r="H72" s="32">
        <v>4870</v>
      </c>
      <c r="I72" s="32">
        <v>2149</v>
      </c>
      <c r="J72" s="32">
        <v>2954</v>
      </c>
      <c r="K72" s="32">
        <v>1778</v>
      </c>
      <c r="L72" s="32">
        <v>634</v>
      </c>
      <c r="M72" s="32">
        <v>1819</v>
      </c>
      <c r="N72" s="32">
        <v>4017</v>
      </c>
      <c r="O72" s="32">
        <v>2551</v>
      </c>
      <c r="P72" s="32">
        <v>3598</v>
      </c>
      <c r="Q72" s="32">
        <v>3375</v>
      </c>
      <c r="R72" s="32">
        <v>5133</v>
      </c>
      <c r="S72" s="32">
        <v>4919</v>
      </c>
      <c r="T72" s="32">
        <v>494</v>
      </c>
      <c r="U72" s="32">
        <v>-187</v>
      </c>
      <c r="V72" s="32">
        <v>-873</v>
      </c>
      <c r="W72" s="158" t="s">
        <v>14</v>
      </c>
    </row>
    <row r="73" spans="1:23" ht="10.7" customHeight="1" x14ac:dyDescent="0.3">
      <c r="A73" s="168" t="s">
        <v>15</v>
      </c>
      <c r="B73" s="32">
        <v>27375</v>
      </c>
      <c r="C73" s="32">
        <v>28844</v>
      </c>
      <c r="D73" s="32">
        <v>22130</v>
      </c>
      <c r="E73" s="32">
        <v>15143</v>
      </c>
      <c r="F73" s="32">
        <v>11321</v>
      </c>
      <c r="G73" s="32">
        <v>11060</v>
      </c>
      <c r="H73" s="32">
        <v>14259</v>
      </c>
      <c r="I73" s="32">
        <v>7539</v>
      </c>
      <c r="J73" s="32">
        <v>8597</v>
      </c>
      <c r="K73" s="32">
        <v>6453</v>
      </c>
      <c r="L73" s="32">
        <v>5358</v>
      </c>
      <c r="M73" s="32">
        <v>7658</v>
      </c>
      <c r="N73" s="32">
        <v>10920</v>
      </c>
      <c r="O73" s="32">
        <v>7281</v>
      </c>
      <c r="P73" s="32">
        <v>8802</v>
      </c>
      <c r="Q73" s="32">
        <v>11541</v>
      </c>
      <c r="R73" s="32">
        <v>19376</v>
      </c>
      <c r="S73" s="32">
        <v>16153</v>
      </c>
      <c r="T73" s="32">
        <v>1833</v>
      </c>
      <c r="U73" s="32">
        <v>3144</v>
      </c>
      <c r="V73" s="32">
        <v>4008</v>
      </c>
      <c r="W73" s="158" t="s">
        <v>15</v>
      </c>
    </row>
    <row r="74" spans="1:23" ht="10.7" customHeight="1" x14ac:dyDescent="0.3">
      <c r="A74" s="168" t="s">
        <v>16</v>
      </c>
      <c r="B74" s="32">
        <v>41001</v>
      </c>
      <c r="C74" s="32">
        <v>40596</v>
      </c>
      <c r="D74" s="32">
        <v>34082</v>
      </c>
      <c r="E74" s="32">
        <v>26157</v>
      </c>
      <c r="F74" s="32">
        <v>20133</v>
      </c>
      <c r="G74" s="32">
        <v>18464</v>
      </c>
      <c r="H74" s="32">
        <v>26561</v>
      </c>
      <c r="I74" s="32">
        <v>16271</v>
      </c>
      <c r="J74" s="32">
        <v>15451</v>
      </c>
      <c r="K74" s="32">
        <v>12976</v>
      </c>
      <c r="L74" s="32">
        <v>11103</v>
      </c>
      <c r="M74" s="32">
        <v>12969</v>
      </c>
      <c r="N74" s="32">
        <v>15566</v>
      </c>
      <c r="O74" s="32">
        <v>13275</v>
      </c>
      <c r="P74" s="32">
        <v>16593</v>
      </c>
      <c r="Q74" s="32">
        <v>15240</v>
      </c>
      <c r="R74" s="32">
        <v>19815</v>
      </c>
      <c r="S74" s="32">
        <v>17432</v>
      </c>
      <c r="T74" s="32">
        <v>5091</v>
      </c>
      <c r="U74" s="32">
        <v>3905</v>
      </c>
      <c r="V74" s="32">
        <v>9113</v>
      </c>
      <c r="W74" s="158" t="s">
        <v>16</v>
      </c>
    </row>
    <row r="75" spans="1:23" ht="10.7" customHeight="1" x14ac:dyDescent="0.3">
      <c r="A75" s="168" t="s">
        <v>17</v>
      </c>
      <c r="B75" s="32">
        <v>28720</v>
      </c>
      <c r="C75" s="32">
        <v>26250</v>
      </c>
      <c r="D75" s="32">
        <v>23266</v>
      </c>
      <c r="E75" s="32">
        <v>20100</v>
      </c>
      <c r="F75" s="32">
        <v>16541</v>
      </c>
      <c r="G75" s="32">
        <v>16338</v>
      </c>
      <c r="H75" s="32">
        <v>25376</v>
      </c>
      <c r="I75" s="32">
        <v>14930</v>
      </c>
      <c r="J75" s="32">
        <v>17176</v>
      </c>
      <c r="K75" s="32">
        <v>17673</v>
      </c>
      <c r="L75" s="32">
        <v>14764</v>
      </c>
      <c r="M75" s="32">
        <v>17556</v>
      </c>
      <c r="N75" s="32">
        <v>20843</v>
      </c>
      <c r="O75" s="32">
        <v>18145</v>
      </c>
      <c r="P75" s="32">
        <v>24365</v>
      </c>
      <c r="Q75" s="32">
        <v>20008</v>
      </c>
      <c r="R75" s="32">
        <v>22443</v>
      </c>
      <c r="S75" s="32">
        <v>23211</v>
      </c>
      <c r="T75" s="32">
        <v>11792</v>
      </c>
      <c r="U75" s="32">
        <v>10177</v>
      </c>
      <c r="V75" s="32">
        <v>14384</v>
      </c>
      <c r="W75" s="158" t="s">
        <v>17</v>
      </c>
    </row>
    <row r="76" spans="1:23" ht="6.95" customHeight="1" x14ac:dyDescent="0.3">
      <c r="A76" s="168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158"/>
    </row>
    <row r="77" spans="1:23" ht="10.5" customHeight="1" x14ac:dyDescent="0.3">
      <c r="A77" s="168" t="s">
        <v>18</v>
      </c>
      <c r="B77" s="32">
        <v>13215</v>
      </c>
      <c r="C77" s="32">
        <v>11079</v>
      </c>
      <c r="D77" s="32">
        <v>9015</v>
      </c>
      <c r="E77" s="32">
        <v>8387</v>
      </c>
      <c r="F77" s="32">
        <v>9319</v>
      </c>
      <c r="G77" s="32">
        <v>9788</v>
      </c>
      <c r="H77" s="32">
        <v>15847</v>
      </c>
      <c r="I77" s="32">
        <v>7806</v>
      </c>
      <c r="J77" s="32">
        <v>8640</v>
      </c>
      <c r="K77" s="32">
        <v>8255</v>
      </c>
      <c r="L77" s="32">
        <v>6264</v>
      </c>
      <c r="M77" s="32">
        <v>11108</v>
      </c>
      <c r="N77" s="32">
        <v>15890</v>
      </c>
      <c r="O77" s="32">
        <v>16316</v>
      </c>
      <c r="P77" s="32">
        <v>25214</v>
      </c>
      <c r="Q77" s="32">
        <v>19294</v>
      </c>
      <c r="R77" s="32">
        <v>22624</v>
      </c>
      <c r="S77" s="32">
        <v>19185</v>
      </c>
      <c r="T77" s="32">
        <v>7885</v>
      </c>
      <c r="U77" s="32">
        <v>6571</v>
      </c>
      <c r="V77" s="32">
        <v>8954</v>
      </c>
      <c r="W77" s="158" t="s">
        <v>18</v>
      </c>
    </row>
    <row r="78" spans="1:23" ht="10.7" customHeight="1" x14ac:dyDescent="0.3">
      <c r="A78" s="168" t="s">
        <v>19</v>
      </c>
      <c r="B78" s="32">
        <v>7712</v>
      </c>
      <c r="C78" s="32">
        <v>5020</v>
      </c>
      <c r="D78" s="32">
        <v>2202</v>
      </c>
      <c r="E78" s="32">
        <v>1905</v>
      </c>
      <c r="F78" s="32">
        <v>1915</v>
      </c>
      <c r="G78" s="32">
        <v>2562</v>
      </c>
      <c r="H78" s="32">
        <v>5358</v>
      </c>
      <c r="I78" s="32">
        <v>1815</v>
      </c>
      <c r="J78" s="32">
        <v>2711</v>
      </c>
      <c r="K78" s="32">
        <v>1859</v>
      </c>
      <c r="L78" s="32">
        <v>1175</v>
      </c>
      <c r="M78" s="32">
        <v>4048</v>
      </c>
      <c r="N78" s="32">
        <v>7855</v>
      </c>
      <c r="O78" s="32">
        <v>7167</v>
      </c>
      <c r="P78" s="32">
        <v>13152</v>
      </c>
      <c r="Q78" s="32">
        <v>9658</v>
      </c>
      <c r="R78" s="32">
        <v>12674</v>
      </c>
      <c r="S78" s="32">
        <v>10969</v>
      </c>
      <c r="T78" s="32">
        <v>2874</v>
      </c>
      <c r="U78" s="32">
        <v>3075</v>
      </c>
      <c r="V78" s="32">
        <v>3782</v>
      </c>
      <c r="W78" s="158" t="s">
        <v>19</v>
      </c>
    </row>
    <row r="79" spans="1:23" ht="10.7" customHeight="1" x14ac:dyDescent="0.3">
      <c r="A79" s="168" t="s">
        <v>20</v>
      </c>
      <c r="B79" s="32">
        <v>8275</v>
      </c>
      <c r="C79" s="32">
        <v>6227</v>
      </c>
      <c r="D79" s="32">
        <v>4337</v>
      </c>
      <c r="E79" s="32">
        <v>4074</v>
      </c>
      <c r="F79" s="32">
        <v>3716</v>
      </c>
      <c r="G79" s="32">
        <v>3363</v>
      </c>
      <c r="H79" s="32">
        <v>4588</v>
      </c>
      <c r="I79" s="32">
        <v>1115</v>
      </c>
      <c r="J79" s="32">
        <v>2120</v>
      </c>
      <c r="K79" s="32">
        <v>775</v>
      </c>
      <c r="L79" s="32">
        <v>-173</v>
      </c>
      <c r="M79" s="32">
        <v>2128</v>
      </c>
      <c r="N79" s="32">
        <v>5686</v>
      </c>
      <c r="O79" s="32">
        <v>5058</v>
      </c>
      <c r="P79" s="32">
        <v>9431</v>
      </c>
      <c r="Q79" s="32">
        <v>7365</v>
      </c>
      <c r="R79" s="32">
        <v>9932</v>
      </c>
      <c r="S79" s="32">
        <v>7928</v>
      </c>
      <c r="T79" s="32">
        <v>1627</v>
      </c>
      <c r="U79" s="32">
        <v>1379</v>
      </c>
      <c r="V79" s="32">
        <v>1507</v>
      </c>
      <c r="W79" s="158" t="s">
        <v>20</v>
      </c>
    </row>
    <row r="80" spans="1:23" ht="10.7" customHeight="1" x14ac:dyDescent="0.3">
      <c r="A80" s="168" t="s">
        <v>21</v>
      </c>
      <c r="B80" s="32">
        <v>7265</v>
      </c>
      <c r="C80" s="32">
        <v>5916</v>
      </c>
      <c r="D80" s="32">
        <v>4966</v>
      </c>
      <c r="E80" s="32">
        <v>5413</v>
      </c>
      <c r="F80" s="32">
        <v>5177</v>
      </c>
      <c r="G80" s="32">
        <v>4454</v>
      </c>
      <c r="H80" s="32">
        <v>6460</v>
      </c>
      <c r="I80" s="32">
        <v>2947</v>
      </c>
      <c r="J80" s="32">
        <v>3266</v>
      </c>
      <c r="K80" s="32">
        <v>1943</v>
      </c>
      <c r="L80" s="32">
        <v>868</v>
      </c>
      <c r="M80" s="32">
        <v>3184</v>
      </c>
      <c r="N80" s="32">
        <v>5717</v>
      </c>
      <c r="O80" s="32">
        <v>4762</v>
      </c>
      <c r="P80" s="32">
        <v>7443</v>
      </c>
      <c r="Q80" s="32">
        <v>6212</v>
      </c>
      <c r="R80" s="32">
        <v>8627</v>
      </c>
      <c r="S80" s="32">
        <v>8133</v>
      </c>
      <c r="T80" s="32">
        <v>1745</v>
      </c>
      <c r="U80" s="32">
        <v>1454</v>
      </c>
      <c r="V80" s="32">
        <v>2575</v>
      </c>
      <c r="W80" s="158" t="s">
        <v>21</v>
      </c>
    </row>
    <row r="81" spans="1:23" ht="10.7" customHeight="1" x14ac:dyDescent="0.3">
      <c r="A81" s="168" t="s">
        <v>22</v>
      </c>
      <c r="B81" s="32">
        <v>6419</v>
      </c>
      <c r="C81" s="32">
        <v>5672</v>
      </c>
      <c r="D81" s="32">
        <v>5238</v>
      </c>
      <c r="E81" s="32">
        <v>5809</v>
      </c>
      <c r="F81" s="32">
        <v>5501</v>
      </c>
      <c r="G81" s="32">
        <v>4616</v>
      </c>
      <c r="H81" s="32">
        <v>5755</v>
      </c>
      <c r="I81" s="32">
        <v>3855</v>
      </c>
      <c r="J81" s="32">
        <v>3854</v>
      </c>
      <c r="K81" s="32">
        <v>3230</v>
      </c>
      <c r="L81" s="32">
        <v>2848</v>
      </c>
      <c r="M81" s="32">
        <v>5772</v>
      </c>
      <c r="N81" s="32">
        <v>7482</v>
      </c>
      <c r="O81" s="32">
        <v>5741</v>
      </c>
      <c r="P81" s="32">
        <v>8486</v>
      </c>
      <c r="Q81" s="32">
        <v>6357</v>
      </c>
      <c r="R81" s="32">
        <v>7323</v>
      </c>
      <c r="S81" s="32">
        <v>6419</v>
      </c>
      <c r="T81" s="32">
        <v>802</v>
      </c>
      <c r="U81" s="32">
        <v>1597</v>
      </c>
      <c r="V81" s="32">
        <v>2514</v>
      </c>
      <c r="W81" s="158" t="s">
        <v>22</v>
      </c>
    </row>
    <row r="82" spans="1:23" ht="10.7" customHeight="1" x14ac:dyDescent="0.3">
      <c r="A82" s="168" t="s">
        <v>279</v>
      </c>
      <c r="B82" s="32">
        <v>16264</v>
      </c>
      <c r="C82" s="32">
        <v>15174</v>
      </c>
      <c r="D82" s="32">
        <v>14952</v>
      </c>
      <c r="E82" s="32">
        <v>13868</v>
      </c>
      <c r="F82" s="32">
        <v>14353</v>
      </c>
      <c r="G82" s="32">
        <v>10119</v>
      </c>
      <c r="H82" s="32">
        <v>13603</v>
      </c>
      <c r="I82" s="32">
        <v>11264</v>
      </c>
      <c r="J82" s="32">
        <v>9278</v>
      </c>
      <c r="K82" s="32">
        <v>9248</v>
      </c>
      <c r="L82" s="32">
        <v>8887</v>
      </c>
      <c r="M82" s="32">
        <v>18560</v>
      </c>
      <c r="N82" s="32">
        <v>21921</v>
      </c>
      <c r="O82" s="32">
        <v>18524</v>
      </c>
      <c r="P82" s="32">
        <v>25388</v>
      </c>
      <c r="Q82" s="32">
        <v>18256</v>
      </c>
      <c r="R82" s="32">
        <v>21349</v>
      </c>
      <c r="S82" s="32">
        <v>21414</v>
      </c>
      <c r="T82" s="32">
        <v>6571</v>
      </c>
      <c r="U82" s="32">
        <v>9866</v>
      </c>
      <c r="V82" s="32">
        <v>13573</v>
      </c>
      <c r="W82" s="158" t="s">
        <v>278</v>
      </c>
    </row>
    <row r="83" spans="1:23" ht="6.95" customHeight="1" x14ac:dyDescent="0.3">
      <c r="A83" s="168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58"/>
    </row>
    <row r="84" spans="1:23" ht="10.7" customHeight="1" x14ac:dyDescent="0.3">
      <c r="A84" s="168" t="s">
        <v>297</v>
      </c>
      <c r="B84" s="32">
        <v>98957</v>
      </c>
      <c r="C84" s="32">
        <v>97930</v>
      </c>
      <c r="D84" s="32">
        <v>81034</v>
      </c>
      <c r="E84" s="32">
        <v>62740</v>
      </c>
      <c r="F84" s="32">
        <v>49213</v>
      </c>
      <c r="G84" s="32">
        <v>46898</v>
      </c>
      <c r="H84" s="32">
        <v>67059</v>
      </c>
      <c r="I84" s="32">
        <v>38099</v>
      </c>
      <c r="J84" s="32">
        <v>40488</v>
      </c>
      <c r="K84" s="32">
        <v>36172</v>
      </c>
      <c r="L84" s="32">
        <v>30096</v>
      </c>
      <c r="M84" s="32">
        <v>37162</v>
      </c>
      <c r="N84" s="32">
        <v>47147</v>
      </c>
      <c r="O84" s="32">
        <v>37533</v>
      </c>
      <c r="P84" s="32">
        <v>49020</v>
      </c>
      <c r="Q84" s="32">
        <v>45776</v>
      </c>
      <c r="R84" s="32">
        <v>61942</v>
      </c>
      <c r="S84" s="32">
        <v>56843</v>
      </c>
      <c r="T84" s="32">
        <v>16829</v>
      </c>
      <c r="U84" s="32">
        <v>15191</v>
      </c>
      <c r="V84" s="236">
        <v>25735</v>
      </c>
      <c r="W84" s="158" t="s">
        <v>297</v>
      </c>
    </row>
    <row r="85" spans="1:23" ht="10.7" customHeight="1" x14ac:dyDescent="0.3">
      <c r="A85" s="168" t="s">
        <v>298</v>
      </c>
      <c r="B85" s="32">
        <v>35454</v>
      </c>
      <c r="C85" s="32">
        <v>28303</v>
      </c>
      <c r="D85" s="32">
        <v>22002</v>
      </c>
      <c r="E85" s="32">
        <v>22114</v>
      </c>
      <c r="F85" s="32">
        <v>21820</v>
      </c>
      <c r="G85" s="32">
        <v>18716</v>
      </c>
      <c r="H85" s="32">
        <v>27075</v>
      </c>
      <c r="I85" s="32">
        <v>13307</v>
      </c>
      <c r="J85" s="32">
        <v>15189</v>
      </c>
      <c r="K85" s="32">
        <v>10584</v>
      </c>
      <c r="L85" s="32">
        <v>7216</v>
      </c>
      <c r="M85" s="32">
        <v>20538</v>
      </c>
      <c r="N85" s="32">
        <v>33513</v>
      </c>
      <c r="O85" s="32">
        <v>28353</v>
      </c>
      <c r="P85" s="32">
        <v>46518</v>
      </c>
      <c r="Q85" s="32">
        <v>35160</v>
      </c>
      <c r="R85" s="32">
        <v>45306</v>
      </c>
      <c r="S85" s="32">
        <v>39760</v>
      </c>
      <c r="T85" s="32">
        <v>7271</v>
      </c>
      <c r="U85" s="32">
        <v>8826</v>
      </c>
      <c r="V85" s="236">
        <v>12889</v>
      </c>
      <c r="W85" s="158" t="s">
        <v>298</v>
      </c>
    </row>
    <row r="86" spans="1:23" ht="6.95" customHeight="1" thickBot="1" x14ac:dyDescent="0.35">
      <c r="A86" s="170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237"/>
      <c r="W86" s="159"/>
    </row>
    <row r="87" spans="1:23" ht="10.7" customHeight="1" x14ac:dyDescent="0.3">
      <c r="A87" s="160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160"/>
    </row>
    <row r="88" spans="1:23" ht="12.75" customHeight="1" x14ac:dyDescent="0.3"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spans="1:23" ht="12.75" customHeight="1" x14ac:dyDescent="0.3"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spans="1:23" ht="12.75" customHeight="1" x14ac:dyDescent="0.3">
      <c r="B90" s="62"/>
    </row>
    <row r="91" spans="1:23" ht="12.75" customHeight="1" x14ac:dyDescent="0.3"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spans="1:23" ht="12.75" customHeight="1" x14ac:dyDescent="0.3"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</sheetData>
  <mergeCells count="4">
    <mergeCell ref="W3:W5"/>
    <mergeCell ref="A3:A5"/>
    <mergeCell ref="A1:K1"/>
    <mergeCell ref="L1:W1"/>
  </mergeCells>
  <phoneticPr fontId="1" type="noConversion"/>
  <conditionalFormatting sqref="B7:V85">
    <cfRule type="cellIs" dxfId="12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2" fitToWidth="2" orientation="portrait" r:id="rId1"/>
  <colBreaks count="2" manualBreakCount="2">
    <brk id="11" max="85" man="1"/>
    <brk id="23" max="8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7"/>
  <sheetViews>
    <sheetView showGridLines="0" view="pageBreakPreview" zoomScale="115" zoomScaleNormal="70" zoomScaleSheetLayoutView="115" workbookViewId="0">
      <selection sqref="A1:K1"/>
    </sheetView>
  </sheetViews>
  <sheetFormatPr defaultColWidth="7.375" defaultRowHeight="12.75" customHeight="1" x14ac:dyDescent="0.3"/>
  <cols>
    <col min="1" max="1" width="13.125" style="54" customWidth="1"/>
    <col min="2" max="11" width="8.375" style="10" customWidth="1"/>
    <col min="12" max="16" width="7.625" style="10" customWidth="1"/>
    <col min="17" max="22" width="7.625" style="54" customWidth="1"/>
    <col min="23" max="23" width="13.125" style="54" customWidth="1"/>
    <col min="24" max="16384" width="7.375" style="10"/>
  </cols>
  <sheetData>
    <row r="1" spans="1:23" s="3" customFormat="1" ht="25.5" customHeight="1" x14ac:dyDescent="0.3">
      <c r="A1" s="279" t="s">
        <v>260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80" t="s">
        <v>247</v>
      </c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</row>
    <row r="2" spans="1:23" s="4" customFormat="1" ht="12.75" customHeight="1" thickBot="1" x14ac:dyDescent="0.35">
      <c r="A2" s="7"/>
      <c r="I2" s="14"/>
      <c r="Q2" s="53"/>
      <c r="R2" s="53"/>
      <c r="S2" s="53"/>
      <c r="T2" s="53"/>
      <c r="U2" s="53"/>
      <c r="V2" s="53"/>
      <c r="W2" s="7" t="s">
        <v>23</v>
      </c>
    </row>
    <row r="3" spans="1:23" s="64" customFormat="1" ht="10.7" customHeight="1" x14ac:dyDescent="0.3">
      <c r="A3" s="276" t="s">
        <v>301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2"/>
      <c r="U3" s="163"/>
      <c r="V3" s="162"/>
      <c r="W3" s="273" t="s">
        <v>302</v>
      </c>
    </row>
    <row r="4" spans="1:23" s="64" customFormat="1" ht="10.7" customHeight="1" x14ac:dyDescent="0.3">
      <c r="A4" s="277"/>
      <c r="B4" s="164">
        <v>2004</v>
      </c>
      <c r="C4" s="164">
        <v>2005</v>
      </c>
      <c r="D4" s="164">
        <v>2006</v>
      </c>
      <c r="E4" s="164">
        <v>2007</v>
      </c>
      <c r="F4" s="164">
        <v>2008</v>
      </c>
      <c r="G4" s="164">
        <v>2009</v>
      </c>
      <c r="H4" s="164">
        <v>2010</v>
      </c>
      <c r="I4" s="164">
        <v>2011</v>
      </c>
      <c r="J4" s="164">
        <f t="shared" ref="J4:O4" si="0">K4-1</f>
        <v>2012</v>
      </c>
      <c r="K4" s="164">
        <f t="shared" si="0"/>
        <v>2013</v>
      </c>
      <c r="L4" s="164">
        <f t="shared" si="0"/>
        <v>2014</v>
      </c>
      <c r="M4" s="164">
        <f t="shared" si="0"/>
        <v>2015</v>
      </c>
      <c r="N4" s="164">
        <f t="shared" si="0"/>
        <v>2016</v>
      </c>
      <c r="O4" s="164">
        <f t="shared" si="0"/>
        <v>2017</v>
      </c>
      <c r="P4" s="164">
        <v>2018</v>
      </c>
      <c r="Q4" s="164">
        <v>2019</v>
      </c>
      <c r="R4" s="164">
        <v>2020</v>
      </c>
      <c r="S4" s="164">
        <v>2021</v>
      </c>
      <c r="T4" s="147">
        <v>2022</v>
      </c>
      <c r="U4" s="164">
        <v>2023</v>
      </c>
      <c r="V4" s="146">
        <v>2024</v>
      </c>
      <c r="W4" s="274"/>
    </row>
    <row r="5" spans="1:23" s="64" customFormat="1" ht="10.7" customHeight="1" x14ac:dyDescent="0.3">
      <c r="A5" s="278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65"/>
      <c r="V5" s="161"/>
      <c r="W5" s="275"/>
    </row>
    <row r="6" spans="1:23" s="64" customFormat="1" ht="6.95" customHeight="1" x14ac:dyDescent="0.3">
      <c r="A6" s="168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58"/>
    </row>
    <row r="7" spans="1:23" ht="10.7" customHeight="1" x14ac:dyDescent="0.3">
      <c r="A7" s="169" t="s">
        <v>223</v>
      </c>
      <c r="B7" s="32">
        <v>61129</v>
      </c>
      <c r="C7" s="32">
        <v>58671</v>
      </c>
      <c r="D7" s="32">
        <v>50002</v>
      </c>
      <c r="E7" s="32">
        <v>35666</v>
      </c>
      <c r="F7" s="32">
        <v>19803</v>
      </c>
      <c r="G7" s="32">
        <v>17545</v>
      </c>
      <c r="H7" s="32">
        <v>11250</v>
      </c>
      <c r="I7" s="32">
        <v>-8786</v>
      </c>
      <c r="J7" s="32">
        <v>-1376</v>
      </c>
      <c r="K7" s="32">
        <v>-7572</v>
      </c>
      <c r="L7" s="32">
        <v>-14859</v>
      </c>
      <c r="M7" s="32">
        <v>-22130</v>
      </c>
      <c r="N7" s="32">
        <v>-3834</v>
      </c>
      <c r="O7" s="32">
        <v>5670</v>
      </c>
      <c r="P7" s="32">
        <v>26201</v>
      </c>
      <c r="Q7" s="32">
        <v>36722</v>
      </c>
      <c r="R7" s="32">
        <v>38626</v>
      </c>
      <c r="S7" s="32">
        <v>26419</v>
      </c>
      <c r="T7" s="32">
        <v>15711</v>
      </c>
      <c r="U7" s="32">
        <v>17438</v>
      </c>
      <c r="V7" s="32">
        <v>15958</v>
      </c>
      <c r="W7" s="167" t="s">
        <v>223</v>
      </c>
    </row>
    <row r="8" spans="1:23" ht="6.95" customHeight="1" x14ac:dyDescent="0.3">
      <c r="A8" s="168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158"/>
    </row>
    <row r="9" spans="1:23" ht="10.7" customHeight="1" x14ac:dyDescent="0.3">
      <c r="A9" s="168" t="s">
        <v>11</v>
      </c>
      <c r="B9" s="32">
        <v>2354</v>
      </c>
      <c r="C9" s="32">
        <v>492</v>
      </c>
      <c r="D9" s="32">
        <v>-724</v>
      </c>
      <c r="E9" s="32">
        <v>-1439</v>
      </c>
      <c r="F9" s="32">
        <v>-1562</v>
      </c>
      <c r="G9" s="32">
        <v>-1593</v>
      </c>
      <c r="H9" s="32">
        <v>-1911</v>
      </c>
      <c r="I9" s="32">
        <v>-2897</v>
      </c>
      <c r="J9" s="32">
        <v>-2488</v>
      </c>
      <c r="K9" s="32">
        <v>-2277</v>
      </c>
      <c r="L9" s="32">
        <v>-3396</v>
      </c>
      <c r="M9" s="32">
        <v>-3545</v>
      </c>
      <c r="N9" s="32">
        <v>-2432</v>
      </c>
      <c r="O9" s="32">
        <v>-1477</v>
      </c>
      <c r="P9" s="32">
        <v>-206</v>
      </c>
      <c r="Q9" s="32">
        <v>5</v>
      </c>
      <c r="R9" s="32">
        <v>-40</v>
      </c>
      <c r="S9" s="32">
        <v>-640</v>
      </c>
      <c r="T9" s="32">
        <v>-832</v>
      </c>
      <c r="U9" s="32">
        <v>-351</v>
      </c>
      <c r="V9" s="32">
        <v>-45</v>
      </c>
      <c r="W9" s="158" t="s">
        <v>11</v>
      </c>
    </row>
    <row r="10" spans="1:23" ht="10.7" customHeight="1" x14ac:dyDescent="0.3">
      <c r="A10" s="168" t="s">
        <v>12</v>
      </c>
      <c r="B10" s="32">
        <v>3926</v>
      </c>
      <c r="C10" s="32">
        <v>2109</v>
      </c>
      <c r="D10" s="32">
        <v>940</v>
      </c>
      <c r="E10" s="32">
        <v>-155</v>
      </c>
      <c r="F10" s="32">
        <v>-41</v>
      </c>
      <c r="G10" s="32">
        <v>-602</v>
      </c>
      <c r="H10" s="32">
        <v>-852</v>
      </c>
      <c r="I10" s="32">
        <v>-1428</v>
      </c>
      <c r="J10" s="32">
        <v>-1367</v>
      </c>
      <c r="K10" s="32">
        <v>-1643</v>
      </c>
      <c r="L10" s="32">
        <v>-2335</v>
      </c>
      <c r="M10" s="32">
        <v>-2786</v>
      </c>
      <c r="N10" s="32">
        <v>-2096</v>
      </c>
      <c r="O10" s="32">
        <v>-1028</v>
      </c>
      <c r="P10" s="32">
        <v>-283</v>
      </c>
      <c r="Q10" s="32">
        <v>264</v>
      </c>
      <c r="R10" s="32">
        <v>-189</v>
      </c>
      <c r="S10" s="32">
        <v>-519</v>
      </c>
      <c r="T10" s="32">
        <v>-532</v>
      </c>
      <c r="U10" s="32">
        <v>419</v>
      </c>
      <c r="V10" s="32">
        <v>65</v>
      </c>
      <c r="W10" s="158" t="s">
        <v>12</v>
      </c>
    </row>
    <row r="11" spans="1:23" ht="10.7" customHeight="1" x14ac:dyDescent="0.3">
      <c r="A11" s="168" t="s">
        <v>13</v>
      </c>
      <c r="B11" s="32">
        <v>4316</v>
      </c>
      <c r="C11" s="32">
        <v>2609</v>
      </c>
      <c r="D11" s="32">
        <v>2192</v>
      </c>
      <c r="E11" s="32">
        <v>918</v>
      </c>
      <c r="F11" s="32">
        <v>1162</v>
      </c>
      <c r="G11" s="32">
        <v>975</v>
      </c>
      <c r="H11" s="32">
        <v>543</v>
      </c>
      <c r="I11" s="32">
        <v>-510</v>
      </c>
      <c r="J11" s="32">
        <v>-437</v>
      </c>
      <c r="K11" s="32">
        <v>-306</v>
      </c>
      <c r="L11" s="32">
        <v>-988</v>
      </c>
      <c r="M11" s="32">
        <v>-1113</v>
      </c>
      <c r="N11" s="32">
        <v>-852</v>
      </c>
      <c r="O11" s="32">
        <v>-395</v>
      </c>
      <c r="P11" s="32">
        <v>170</v>
      </c>
      <c r="Q11" s="32">
        <v>296</v>
      </c>
      <c r="R11" s="32">
        <v>343</v>
      </c>
      <c r="S11" s="32">
        <v>52</v>
      </c>
      <c r="T11" s="32">
        <v>168</v>
      </c>
      <c r="U11" s="32">
        <v>549</v>
      </c>
      <c r="V11" s="32">
        <v>241</v>
      </c>
      <c r="W11" s="158" t="s">
        <v>13</v>
      </c>
    </row>
    <row r="12" spans="1:23" ht="10.7" customHeight="1" x14ac:dyDescent="0.3">
      <c r="A12" s="168" t="s">
        <v>14</v>
      </c>
      <c r="B12" s="32">
        <v>4141</v>
      </c>
      <c r="C12" s="32">
        <v>3710</v>
      </c>
      <c r="D12" s="32">
        <v>3025</v>
      </c>
      <c r="E12" s="32">
        <v>2299</v>
      </c>
      <c r="F12" s="32">
        <v>1926</v>
      </c>
      <c r="G12" s="32">
        <v>2284</v>
      </c>
      <c r="H12" s="32">
        <v>1567</v>
      </c>
      <c r="I12" s="32">
        <v>475</v>
      </c>
      <c r="J12" s="32">
        <v>718</v>
      </c>
      <c r="K12" s="32">
        <v>408</v>
      </c>
      <c r="L12" s="32">
        <v>362</v>
      </c>
      <c r="M12" s="32">
        <v>408</v>
      </c>
      <c r="N12" s="32">
        <v>1435</v>
      </c>
      <c r="O12" s="32">
        <v>1533</v>
      </c>
      <c r="P12" s="32">
        <v>2218</v>
      </c>
      <c r="Q12" s="32">
        <v>2816</v>
      </c>
      <c r="R12" s="32">
        <v>2826</v>
      </c>
      <c r="S12" s="32">
        <v>2211</v>
      </c>
      <c r="T12" s="32">
        <v>2740</v>
      </c>
      <c r="U12" s="32">
        <v>2186</v>
      </c>
      <c r="V12" s="32">
        <v>2402</v>
      </c>
      <c r="W12" s="158" t="s">
        <v>14</v>
      </c>
    </row>
    <row r="13" spans="1:23" ht="10.7" customHeight="1" x14ac:dyDescent="0.3">
      <c r="A13" s="168" t="s">
        <v>15</v>
      </c>
      <c r="B13" s="32">
        <v>17578</v>
      </c>
      <c r="C13" s="32">
        <v>19492</v>
      </c>
      <c r="D13" s="32">
        <v>18158</v>
      </c>
      <c r="E13" s="32">
        <v>15102</v>
      </c>
      <c r="F13" s="32">
        <v>11624</v>
      </c>
      <c r="G13" s="32">
        <v>10938</v>
      </c>
      <c r="H13" s="32">
        <v>10933</v>
      </c>
      <c r="I13" s="32">
        <v>8096</v>
      </c>
      <c r="J13" s="32">
        <v>10253</v>
      </c>
      <c r="K13" s="32">
        <v>8849</v>
      </c>
      <c r="L13" s="32">
        <v>9202</v>
      </c>
      <c r="M13" s="32">
        <v>8574</v>
      </c>
      <c r="N13" s="32">
        <v>12290</v>
      </c>
      <c r="O13" s="32">
        <v>11525</v>
      </c>
      <c r="P13" s="32">
        <v>12099</v>
      </c>
      <c r="Q13" s="32">
        <v>15115</v>
      </c>
      <c r="R13" s="32">
        <v>16954</v>
      </c>
      <c r="S13" s="32">
        <v>16298</v>
      </c>
      <c r="T13" s="32">
        <v>14731</v>
      </c>
      <c r="U13" s="32">
        <v>12435</v>
      </c>
      <c r="V13" s="32">
        <v>11519</v>
      </c>
      <c r="W13" s="158" t="s">
        <v>15</v>
      </c>
    </row>
    <row r="14" spans="1:23" ht="10.7" customHeight="1" x14ac:dyDescent="0.3">
      <c r="A14" s="168" t="s">
        <v>16</v>
      </c>
      <c r="B14" s="32">
        <v>22741</v>
      </c>
      <c r="C14" s="32">
        <v>25775</v>
      </c>
      <c r="D14" s="32">
        <v>25217</v>
      </c>
      <c r="E14" s="32">
        <v>23443</v>
      </c>
      <c r="F14" s="32">
        <v>18787</v>
      </c>
      <c r="G14" s="32">
        <v>16263</v>
      </c>
      <c r="H14" s="32">
        <v>17057</v>
      </c>
      <c r="I14" s="32">
        <v>14126</v>
      </c>
      <c r="J14" s="32">
        <v>14970</v>
      </c>
      <c r="K14" s="32">
        <v>12601</v>
      </c>
      <c r="L14" s="32">
        <v>12683</v>
      </c>
      <c r="M14" s="32">
        <v>10227</v>
      </c>
      <c r="N14" s="32">
        <v>13643</v>
      </c>
      <c r="O14" s="32">
        <v>15368</v>
      </c>
      <c r="P14" s="32">
        <v>18933</v>
      </c>
      <c r="Q14" s="32">
        <v>19945</v>
      </c>
      <c r="R14" s="32">
        <v>19728</v>
      </c>
      <c r="S14" s="32">
        <v>18378</v>
      </c>
      <c r="T14" s="32">
        <v>16752</v>
      </c>
      <c r="U14" s="32">
        <v>14490</v>
      </c>
      <c r="V14" s="32">
        <v>13241</v>
      </c>
      <c r="W14" s="158" t="s">
        <v>16</v>
      </c>
    </row>
    <row r="15" spans="1:23" ht="10.7" customHeight="1" x14ac:dyDescent="0.3">
      <c r="A15" s="168" t="s">
        <v>17</v>
      </c>
      <c r="B15" s="32">
        <v>3289</v>
      </c>
      <c r="C15" s="32">
        <v>3130</v>
      </c>
      <c r="D15" s="32">
        <v>2679</v>
      </c>
      <c r="E15" s="32">
        <v>1446</v>
      </c>
      <c r="F15" s="32">
        <v>-11</v>
      </c>
      <c r="G15" s="32">
        <v>253</v>
      </c>
      <c r="H15" s="32">
        <v>-354</v>
      </c>
      <c r="I15" s="32">
        <v>-1929</v>
      </c>
      <c r="J15" s="32">
        <v>-69</v>
      </c>
      <c r="K15" s="32">
        <v>-598</v>
      </c>
      <c r="L15" s="32">
        <v>-1543</v>
      </c>
      <c r="M15" s="32">
        <v>-2176</v>
      </c>
      <c r="N15" s="32">
        <v>108</v>
      </c>
      <c r="O15" s="32">
        <v>1959</v>
      </c>
      <c r="P15" s="32">
        <v>5098</v>
      </c>
      <c r="Q15" s="32">
        <v>5447</v>
      </c>
      <c r="R15" s="32">
        <v>5673</v>
      </c>
      <c r="S15" s="32">
        <v>4080</v>
      </c>
      <c r="T15" s="32">
        <v>3071</v>
      </c>
      <c r="U15" s="32">
        <v>2259</v>
      </c>
      <c r="V15" s="32">
        <v>2720</v>
      </c>
      <c r="W15" s="158" t="s">
        <v>17</v>
      </c>
    </row>
    <row r="16" spans="1:23" ht="6.95" customHeight="1" x14ac:dyDescent="0.3">
      <c r="A16" s="168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158"/>
    </row>
    <row r="17" spans="1:24" ht="10.7" customHeight="1" x14ac:dyDescent="0.3">
      <c r="A17" s="168" t="s">
        <v>18</v>
      </c>
      <c r="B17" s="32">
        <v>1137</v>
      </c>
      <c r="C17" s="32">
        <v>923</v>
      </c>
      <c r="D17" s="32">
        <v>-208</v>
      </c>
      <c r="E17" s="32">
        <v>-1232</v>
      </c>
      <c r="F17" s="32">
        <v>-2518</v>
      </c>
      <c r="G17" s="32">
        <v>-2680</v>
      </c>
      <c r="H17" s="32">
        <v>-3642</v>
      </c>
      <c r="I17" s="32">
        <v>-5236</v>
      </c>
      <c r="J17" s="32">
        <v>-4073</v>
      </c>
      <c r="K17" s="32">
        <v>-4371</v>
      </c>
      <c r="L17" s="32">
        <v>-5266</v>
      </c>
      <c r="M17" s="32">
        <v>-5567</v>
      </c>
      <c r="N17" s="32">
        <v>-3745</v>
      </c>
      <c r="O17" s="32">
        <v>-2221</v>
      </c>
      <c r="P17" s="32">
        <v>78</v>
      </c>
      <c r="Q17" s="32">
        <v>1023</v>
      </c>
      <c r="R17" s="32">
        <v>2176</v>
      </c>
      <c r="S17" s="32">
        <v>653</v>
      </c>
      <c r="T17" s="32">
        <v>-801</v>
      </c>
      <c r="U17" s="32">
        <v>-235</v>
      </c>
      <c r="V17" s="32">
        <v>-82</v>
      </c>
      <c r="W17" s="158" t="s">
        <v>18</v>
      </c>
    </row>
    <row r="18" spans="1:24" ht="10.7" customHeight="1" x14ac:dyDescent="0.3">
      <c r="A18" s="168" t="s">
        <v>19</v>
      </c>
      <c r="B18" s="32">
        <v>896</v>
      </c>
      <c r="C18" s="32">
        <v>936</v>
      </c>
      <c r="D18" s="32">
        <v>12</v>
      </c>
      <c r="E18" s="32">
        <v>-773</v>
      </c>
      <c r="F18" s="32">
        <v>-1790</v>
      </c>
      <c r="G18" s="32">
        <v>-2012</v>
      </c>
      <c r="H18" s="32">
        <v>-2713</v>
      </c>
      <c r="I18" s="32">
        <v>-4474</v>
      </c>
      <c r="J18" s="32">
        <v>-4388</v>
      </c>
      <c r="K18" s="32">
        <v>-4605</v>
      </c>
      <c r="L18" s="32">
        <v>-5641</v>
      </c>
      <c r="M18" s="32">
        <v>-5771</v>
      </c>
      <c r="N18" s="32">
        <v>-4255</v>
      </c>
      <c r="O18" s="32">
        <v>-2809</v>
      </c>
      <c r="P18" s="32">
        <v>-1160</v>
      </c>
      <c r="Q18" s="32">
        <v>308</v>
      </c>
      <c r="R18" s="32">
        <v>516</v>
      </c>
      <c r="S18" s="32">
        <v>-540</v>
      </c>
      <c r="T18" s="32">
        <v>-1690</v>
      </c>
      <c r="U18" s="32">
        <v>-975</v>
      </c>
      <c r="V18" s="32">
        <v>-985</v>
      </c>
      <c r="W18" s="158" t="s">
        <v>19</v>
      </c>
    </row>
    <row r="19" spans="1:24" ht="10.7" customHeight="1" x14ac:dyDescent="0.3">
      <c r="A19" s="168" t="s">
        <v>20</v>
      </c>
      <c r="B19" s="32">
        <v>322</v>
      </c>
      <c r="C19" s="32">
        <v>-118</v>
      </c>
      <c r="D19" s="32">
        <v>-408</v>
      </c>
      <c r="E19" s="32">
        <v>-1276</v>
      </c>
      <c r="F19" s="32">
        <v>-2127</v>
      </c>
      <c r="G19" s="32">
        <v>-1642</v>
      </c>
      <c r="H19" s="32">
        <v>-2753</v>
      </c>
      <c r="I19" s="32">
        <v>-3996</v>
      </c>
      <c r="J19" s="32">
        <v>-3538</v>
      </c>
      <c r="K19" s="32">
        <v>-4074</v>
      </c>
      <c r="L19" s="32">
        <v>-4633</v>
      </c>
      <c r="M19" s="32">
        <v>-5027</v>
      </c>
      <c r="N19" s="32">
        <v>-3784</v>
      </c>
      <c r="O19" s="32">
        <v>-3080</v>
      </c>
      <c r="P19" s="32">
        <v>-1545</v>
      </c>
      <c r="Q19" s="32">
        <v>-960</v>
      </c>
      <c r="R19" s="32">
        <v>-300</v>
      </c>
      <c r="S19" s="32">
        <v>-1472</v>
      </c>
      <c r="T19" s="32">
        <v>-1930</v>
      </c>
      <c r="U19" s="32">
        <v>-1559</v>
      </c>
      <c r="V19" s="32">
        <v>-1466</v>
      </c>
      <c r="W19" s="158" t="s">
        <v>20</v>
      </c>
    </row>
    <row r="20" spans="1:24" ht="10.7" customHeight="1" x14ac:dyDescent="0.3">
      <c r="A20" s="168" t="s">
        <v>21</v>
      </c>
      <c r="B20" s="32">
        <v>-384</v>
      </c>
      <c r="C20" s="32">
        <v>-513</v>
      </c>
      <c r="D20" s="32">
        <v>-639</v>
      </c>
      <c r="E20" s="32">
        <v>-1110</v>
      </c>
      <c r="F20" s="32">
        <v>-1978</v>
      </c>
      <c r="G20" s="32">
        <v>-1742</v>
      </c>
      <c r="H20" s="32">
        <v>-2189</v>
      </c>
      <c r="I20" s="32">
        <v>-3709</v>
      </c>
      <c r="J20" s="32">
        <v>-3815</v>
      </c>
      <c r="K20" s="32">
        <v>-3853</v>
      </c>
      <c r="L20" s="32">
        <v>-4535</v>
      </c>
      <c r="M20" s="32">
        <v>-4678</v>
      </c>
      <c r="N20" s="32">
        <v>-4070</v>
      </c>
      <c r="O20" s="32">
        <v>-3443</v>
      </c>
      <c r="P20" s="32">
        <v>-2064</v>
      </c>
      <c r="Q20" s="32">
        <v>-1677</v>
      </c>
      <c r="R20" s="32">
        <v>-1763</v>
      </c>
      <c r="S20" s="32">
        <v>-2172</v>
      </c>
      <c r="T20" s="32">
        <v>-3039</v>
      </c>
      <c r="U20" s="32">
        <v>-2579</v>
      </c>
      <c r="V20" s="32">
        <v>-2552</v>
      </c>
      <c r="W20" s="158" t="s">
        <v>21</v>
      </c>
    </row>
    <row r="21" spans="1:24" ht="10.7" customHeight="1" x14ac:dyDescent="0.3">
      <c r="A21" s="168" t="s">
        <v>22</v>
      </c>
      <c r="B21" s="32">
        <v>-404</v>
      </c>
      <c r="C21" s="32">
        <v>-530</v>
      </c>
      <c r="D21" s="32">
        <v>-680</v>
      </c>
      <c r="E21" s="32">
        <v>-983</v>
      </c>
      <c r="F21" s="32">
        <v>-1431</v>
      </c>
      <c r="G21" s="32">
        <v>-1231</v>
      </c>
      <c r="H21" s="32">
        <v>-1771</v>
      </c>
      <c r="I21" s="32">
        <v>-3038</v>
      </c>
      <c r="J21" s="32">
        <v>-2956</v>
      </c>
      <c r="K21" s="32">
        <v>-3248</v>
      </c>
      <c r="L21" s="32">
        <v>-3778</v>
      </c>
      <c r="M21" s="32">
        <v>-4436</v>
      </c>
      <c r="N21" s="32">
        <v>-4265</v>
      </c>
      <c r="O21" s="32">
        <v>-4091</v>
      </c>
      <c r="P21" s="32">
        <v>-2987</v>
      </c>
      <c r="Q21" s="32">
        <v>-2575</v>
      </c>
      <c r="R21" s="32">
        <v>-2317</v>
      </c>
      <c r="S21" s="32">
        <v>-3060</v>
      </c>
      <c r="T21" s="32">
        <v>-4051</v>
      </c>
      <c r="U21" s="32">
        <v>-3118</v>
      </c>
      <c r="V21" s="32">
        <v>-3185</v>
      </c>
      <c r="W21" s="158" t="s">
        <v>22</v>
      </c>
    </row>
    <row r="22" spans="1:24" ht="10.7" customHeight="1" x14ac:dyDescent="0.3">
      <c r="A22" s="168" t="s">
        <v>279</v>
      </c>
      <c r="B22" s="32">
        <v>1217</v>
      </c>
      <c r="C22" s="32">
        <v>656</v>
      </c>
      <c r="D22" s="32">
        <v>438</v>
      </c>
      <c r="E22" s="32">
        <v>-574</v>
      </c>
      <c r="F22" s="32">
        <v>-2238</v>
      </c>
      <c r="G22" s="32">
        <v>-1666</v>
      </c>
      <c r="H22" s="32">
        <v>-2665</v>
      </c>
      <c r="I22" s="32">
        <v>-4266</v>
      </c>
      <c r="J22" s="32">
        <v>-4186</v>
      </c>
      <c r="K22" s="32">
        <v>-4455</v>
      </c>
      <c r="L22" s="32">
        <v>-4991</v>
      </c>
      <c r="M22" s="32">
        <v>-6240</v>
      </c>
      <c r="N22" s="32">
        <v>-5811</v>
      </c>
      <c r="O22" s="32">
        <v>-6171</v>
      </c>
      <c r="P22" s="32">
        <v>-4150</v>
      </c>
      <c r="Q22" s="32">
        <v>-3285</v>
      </c>
      <c r="R22" s="32">
        <v>-4981</v>
      </c>
      <c r="S22" s="32">
        <v>-6850</v>
      </c>
      <c r="T22" s="32">
        <v>-8876</v>
      </c>
      <c r="U22" s="32">
        <v>-6083</v>
      </c>
      <c r="V22" s="32">
        <v>-5915</v>
      </c>
      <c r="W22" s="158" t="s">
        <v>278</v>
      </c>
    </row>
    <row r="23" spans="1:24" ht="6.95" customHeight="1" x14ac:dyDescent="0.3">
      <c r="A23" s="16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158"/>
    </row>
    <row r="24" spans="1:24" ht="10.7" customHeight="1" x14ac:dyDescent="0.3">
      <c r="A24" s="168" t="s">
        <v>299</v>
      </c>
      <c r="B24" s="32">
        <v>44585</v>
      </c>
      <c r="C24" s="32">
        <v>49762</v>
      </c>
      <c r="D24" s="32">
        <v>46944</v>
      </c>
      <c r="E24" s="32">
        <v>40733</v>
      </c>
      <c r="F24" s="32">
        <v>30992</v>
      </c>
      <c r="G24" s="32">
        <v>28155</v>
      </c>
      <c r="H24" s="32">
        <v>27869</v>
      </c>
      <c r="I24" s="32">
        <v>20001</v>
      </c>
      <c r="J24" s="32">
        <v>24835</v>
      </c>
      <c r="K24" s="32">
        <v>20464</v>
      </c>
      <c r="L24" s="32">
        <v>19918</v>
      </c>
      <c r="M24" s="32">
        <v>16173</v>
      </c>
      <c r="N24" s="32">
        <v>26273</v>
      </c>
      <c r="O24" s="32">
        <v>28749</v>
      </c>
      <c r="P24" s="32">
        <v>36242</v>
      </c>
      <c r="Q24" s="32">
        <v>40781</v>
      </c>
      <c r="R24" s="32">
        <v>43043</v>
      </c>
      <c r="S24" s="32">
        <v>38973</v>
      </c>
      <c r="T24" s="32">
        <v>35017</v>
      </c>
      <c r="U24" s="32">
        <v>29490</v>
      </c>
      <c r="V24" s="32">
        <v>28225</v>
      </c>
      <c r="W24" s="158" t="s">
        <v>299</v>
      </c>
    </row>
    <row r="25" spans="1:24" ht="10.7" customHeight="1" x14ac:dyDescent="0.3">
      <c r="A25" s="168" t="s">
        <v>300</v>
      </c>
      <c r="B25" s="32">
        <v>217</v>
      </c>
      <c r="C25" s="32">
        <v>-466</v>
      </c>
      <c r="D25" s="32">
        <v>-2252</v>
      </c>
      <c r="E25" s="32">
        <v>-4814</v>
      </c>
      <c r="F25" s="32">
        <v>-8486</v>
      </c>
      <c r="G25" s="32">
        <v>-7721</v>
      </c>
      <c r="H25" s="32">
        <v>-10925</v>
      </c>
      <c r="I25" s="32">
        <v>-17275</v>
      </c>
      <c r="J25" s="32">
        <v>-16846</v>
      </c>
      <c r="K25" s="32">
        <v>-18094</v>
      </c>
      <c r="L25" s="32">
        <v>-21173</v>
      </c>
      <c r="M25" s="32">
        <v>-23111</v>
      </c>
      <c r="N25" s="32">
        <v>-19559</v>
      </c>
      <c r="O25" s="32">
        <v>-16675</v>
      </c>
      <c r="P25" s="32">
        <v>-10288</v>
      </c>
      <c r="Q25" s="32">
        <v>-7120</v>
      </c>
      <c r="R25" s="32">
        <v>-6581</v>
      </c>
      <c r="S25" s="32">
        <v>-11070</v>
      </c>
      <c r="T25" s="32">
        <v>-15301</v>
      </c>
      <c r="U25" s="32">
        <v>-12066</v>
      </c>
      <c r="V25" s="32">
        <v>-11638</v>
      </c>
      <c r="W25" s="158" t="s">
        <v>300</v>
      </c>
    </row>
    <row r="26" spans="1:24" ht="6.95" customHeight="1" x14ac:dyDescent="0.3">
      <c r="A26" s="168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158"/>
    </row>
    <row r="27" spans="1:24" ht="10.7" customHeight="1" x14ac:dyDescent="0.3">
      <c r="A27" s="169" t="s">
        <v>224</v>
      </c>
      <c r="B27" s="32">
        <v>-32176</v>
      </c>
      <c r="C27" s="32">
        <v>-33613</v>
      </c>
      <c r="D27" s="32">
        <v>-25709</v>
      </c>
      <c r="E27" s="32">
        <v>-31444</v>
      </c>
      <c r="F27" s="32">
        <v>-34608</v>
      </c>
      <c r="G27" s="32">
        <v>-31521</v>
      </c>
      <c r="H27" s="32">
        <v>-63004</v>
      </c>
      <c r="I27" s="32">
        <v>-60435</v>
      </c>
      <c r="J27" s="32">
        <v>-56165</v>
      </c>
      <c r="K27" s="32">
        <v>-55580</v>
      </c>
      <c r="L27" s="32">
        <v>-49340</v>
      </c>
      <c r="M27" s="32">
        <v>-74154</v>
      </c>
      <c r="N27" s="32">
        <v>-74941</v>
      </c>
      <c r="O27" s="32">
        <v>-55418</v>
      </c>
      <c r="P27" s="32">
        <v>-62557</v>
      </c>
      <c r="Q27" s="32">
        <v>-33562</v>
      </c>
      <c r="R27" s="32">
        <v>-41379</v>
      </c>
      <c r="S27" s="32">
        <v>-58722</v>
      </c>
      <c r="T27" s="32">
        <v>-22207</v>
      </c>
      <c r="U27" s="32">
        <v>-20920</v>
      </c>
      <c r="V27" s="32">
        <v>-26467</v>
      </c>
      <c r="W27" s="167" t="s">
        <v>224</v>
      </c>
      <c r="X27" s="62"/>
    </row>
    <row r="28" spans="1:24" ht="6.95" customHeight="1" x14ac:dyDescent="0.3">
      <c r="A28" s="16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158"/>
      <c r="X28" s="62"/>
    </row>
    <row r="29" spans="1:24" ht="10.7" customHeight="1" x14ac:dyDescent="0.3">
      <c r="A29" s="168" t="s">
        <v>11</v>
      </c>
      <c r="B29" s="32">
        <v>-4800</v>
      </c>
      <c r="C29" s="32">
        <v>-6288</v>
      </c>
      <c r="D29" s="32">
        <v>-5866</v>
      </c>
      <c r="E29" s="32">
        <v>-6625</v>
      </c>
      <c r="F29" s="32">
        <v>-6232</v>
      </c>
      <c r="G29" s="32">
        <v>-6098</v>
      </c>
      <c r="H29" s="32">
        <v>-8780</v>
      </c>
      <c r="I29" s="32">
        <v>-8154</v>
      </c>
      <c r="J29" s="32">
        <v>-7494</v>
      </c>
      <c r="K29" s="32">
        <v>-7392</v>
      </c>
      <c r="L29" s="32">
        <v>-6593</v>
      </c>
      <c r="M29" s="32">
        <v>-8122</v>
      </c>
      <c r="N29" s="32">
        <v>-8615</v>
      </c>
      <c r="O29" s="32">
        <v>-6960</v>
      </c>
      <c r="P29" s="32">
        <v>-7929</v>
      </c>
      <c r="Q29" s="32">
        <v>-4995</v>
      </c>
      <c r="R29" s="32">
        <v>-4627</v>
      </c>
      <c r="S29" s="32">
        <v>-4745</v>
      </c>
      <c r="T29" s="32">
        <v>-3570</v>
      </c>
      <c r="U29" s="32">
        <v>-3393</v>
      </c>
      <c r="V29" s="32">
        <v>-3352</v>
      </c>
      <c r="W29" s="158" t="s">
        <v>11</v>
      </c>
    </row>
    <row r="30" spans="1:24" ht="10.7" customHeight="1" x14ac:dyDescent="0.3">
      <c r="A30" s="168" t="s">
        <v>12</v>
      </c>
      <c r="B30" s="32">
        <v>-241</v>
      </c>
      <c r="C30" s="32">
        <v>-1083</v>
      </c>
      <c r="D30" s="32">
        <v>-924</v>
      </c>
      <c r="E30" s="32">
        <v>-1622</v>
      </c>
      <c r="F30" s="32">
        <v>-1117</v>
      </c>
      <c r="G30" s="32">
        <v>-1435</v>
      </c>
      <c r="H30" s="32">
        <v>-3048</v>
      </c>
      <c r="I30" s="32">
        <v>-2504</v>
      </c>
      <c r="J30" s="32">
        <v>-2821</v>
      </c>
      <c r="K30" s="32">
        <v>-2795</v>
      </c>
      <c r="L30" s="32">
        <v>-2516</v>
      </c>
      <c r="M30" s="32">
        <v>-3520</v>
      </c>
      <c r="N30" s="32">
        <v>-3862</v>
      </c>
      <c r="O30" s="32">
        <v>-2765</v>
      </c>
      <c r="P30" s="32">
        <v>-3787</v>
      </c>
      <c r="Q30" s="32">
        <v>-1626</v>
      </c>
      <c r="R30" s="32">
        <v>-2263</v>
      </c>
      <c r="S30" s="32">
        <v>-2890</v>
      </c>
      <c r="T30" s="32">
        <v>-1462</v>
      </c>
      <c r="U30" s="32">
        <v>-721</v>
      </c>
      <c r="V30" s="32">
        <v>-522</v>
      </c>
      <c r="W30" s="158" t="s">
        <v>12</v>
      </c>
    </row>
    <row r="31" spans="1:24" ht="10.7" customHeight="1" x14ac:dyDescent="0.3">
      <c r="A31" s="168" t="s">
        <v>13</v>
      </c>
      <c r="B31" s="32">
        <v>2628</v>
      </c>
      <c r="C31" s="32">
        <v>1712</v>
      </c>
      <c r="D31" s="32">
        <v>1992</v>
      </c>
      <c r="E31" s="32">
        <v>1305</v>
      </c>
      <c r="F31" s="32">
        <v>1323</v>
      </c>
      <c r="G31" s="32">
        <v>1170</v>
      </c>
      <c r="H31" s="32">
        <v>-261</v>
      </c>
      <c r="I31" s="32">
        <v>-462</v>
      </c>
      <c r="J31" s="32">
        <v>-1099</v>
      </c>
      <c r="K31" s="32">
        <v>-911</v>
      </c>
      <c r="L31" s="32">
        <v>-717</v>
      </c>
      <c r="M31" s="32">
        <v>-1369</v>
      </c>
      <c r="N31" s="32">
        <v>-1721</v>
      </c>
      <c r="O31" s="32">
        <v>-896</v>
      </c>
      <c r="P31" s="32">
        <v>-1338</v>
      </c>
      <c r="Q31" s="32">
        <v>-346</v>
      </c>
      <c r="R31" s="32">
        <v>-812</v>
      </c>
      <c r="S31" s="32">
        <v>-1310</v>
      </c>
      <c r="T31" s="32">
        <v>-204</v>
      </c>
      <c r="U31" s="32">
        <v>-35</v>
      </c>
      <c r="V31" s="32">
        <v>105</v>
      </c>
      <c r="W31" s="158" t="s">
        <v>13</v>
      </c>
    </row>
    <row r="32" spans="1:24" ht="10.7" customHeight="1" x14ac:dyDescent="0.3">
      <c r="A32" s="168" t="s">
        <v>14</v>
      </c>
      <c r="B32" s="32">
        <v>728</v>
      </c>
      <c r="C32" s="32">
        <v>581</v>
      </c>
      <c r="D32" s="32">
        <v>741</v>
      </c>
      <c r="E32" s="32">
        <v>218</v>
      </c>
      <c r="F32" s="32">
        <v>395</v>
      </c>
      <c r="G32" s="32">
        <v>230</v>
      </c>
      <c r="H32" s="32">
        <v>-1029</v>
      </c>
      <c r="I32" s="32">
        <v>-1316</v>
      </c>
      <c r="J32" s="32">
        <v>-1344</v>
      </c>
      <c r="K32" s="32">
        <v>-1184</v>
      </c>
      <c r="L32" s="32">
        <v>-389</v>
      </c>
      <c r="M32" s="32">
        <v>-1147</v>
      </c>
      <c r="N32" s="32">
        <v>-1294</v>
      </c>
      <c r="O32" s="32">
        <v>-171</v>
      </c>
      <c r="P32" s="32">
        <v>-312</v>
      </c>
      <c r="Q32" s="32">
        <v>653</v>
      </c>
      <c r="R32" s="32">
        <v>-101</v>
      </c>
      <c r="S32" s="32">
        <v>-689</v>
      </c>
      <c r="T32" s="32">
        <v>1762</v>
      </c>
      <c r="U32" s="32">
        <v>1624</v>
      </c>
      <c r="V32" s="32">
        <v>1945</v>
      </c>
      <c r="W32" s="158" t="s">
        <v>14</v>
      </c>
    </row>
    <row r="33" spans="1:23" ht="10.7" customHeight="1" x14ac:dyDescent="0.3">
      <c r="A33" s="168" t="s">
        <v>15</v>
      </c>
      <c r="B33" s="32">
        <v>4628</v>
      </c>
      <c r="C33" s="32">
        <v>5235</v>
      </c>
      <c r="D33" s="32">
        <v>6717</v>
      </c>
      <c r="E33" s="32">
        <v>6161</v>
      </c>
      <c r="F33" s="32">
        <v>5101</v>
      </c>
      <c r="G33" s="32">
        <v>5074</v>
      </c>
      <c r="H33" s="32">
        <v>2884</v>
      </c>
      <c r="I33" s="32">
        <v>3754</v>
      </c>
      <c r="J33" s="32">
        <v>4889</v>
      </c>
      <c r="K33" s="32">
        <v>4731</v>
      </c>
      <c r="L33" s="32">
        <v>5662</v>
      </c>
      <c r="M33" s="32">
        <v>4270</v>
      </c>
      <c r="N33" s="32">
        <v>5571</v>
      </c>
      <c r="O33" s="32">
        <v>6552</v>
      </c>
      <c r="P33" s="32">
        <v>6190</v>
      </c>
      <c r="Q33" s="32">
        <v>7932</v>
      </c>
      <c r="R33" s="32">
        <v>6967</v>
      </c>
      <c r="S33" s="32">
        <v>6794</v>
      </c>
      <c r="T33" s="32">
        <v>11971</v>
      </c>
      <c r="U33" s="32">
        <v>9980</v>
      </c>
      <c r="V33" s="32">
        <v>8831</v>
      </c>
      <c r="W33" s="158" t="s">
        <v>15</v>
      </c>
    </row>
    <row r="34" spans="1:23" ht="10.7" customHeight="1" x14ac:dyDescent="0.3">
      <c r="A34" s="168" t="s">
        <v>16</v>
      </c>
      <c r="B34" s="32">
        <v>919</v>
      </c>
      <c r="C34" s="32">
        <v>1402</v>
      </c>
      <c r="D34" s="32">
        <v>4269</v>
      </c>
      <c r="E34" s="32">
        <v>7224</v>
      </c>
      <c r="F34" s="32">
        <v>6390</v>
      </c>
      <c r="G34" s="32">
        <v>5524</v>
      </c>
      <c r="H34" s="32">
        <v>2453</v>
      </c>
      <c r="I34" s="32">
        <v>3632</v>
      </c>
      <c r="J34" s="32">
        <v>4617</v>
      </c>
      <c r="K34" s="32">
        <v>3980</v>
      </c>
      <c r="L34" s="32">
        <v>5398</v>
      </c>
      <c r="M34" s="32">
        <v>2277</v>
      </c>
      <c r="N34" s="32">
        <v>3722</v>
      </c>
      <c r="O34" s="32">
        <v>6041</v>
      </c>
      <c r="P34" s="32">
        <v>7867</v>
      </c>
      <c r="Q34" s="32">
        <v>9622</v>
      </c>
      <c r="R34" s="32">
        <v>8285</v>
      </c>
      <c r="S34" s="32">
        <v>6329</v>
      </c>
      <c r="T34" s="32">
        <v>11353</v>
      </c>
      <c r="U34" s="32">
        <v>9963</v>
      </c>
      <c r="V34" s="32">
        <v>6660</v>
      </c>
      <c r="W34" s="158" t="s">
        <v>16</v>
      </c>
    </row>
    <row r="35" spans="1:23" ht="10.7" customHeight="1" x14ac:dyDescent="0.3">
      <c r="A35" s="168" t="s">
        <v>17</v>
      </c>
      <c r="B35" s="32">
        <v>-12880</v>
      </c>
      <c r="C35" s="32">
        <v>-12614</v>
      </c>
      <c r="D35" s="32">
        <v>-11386</v>
      </c>
      <c r="E35" s="32">
        <v>-11369</v>
      </c>
      <c r="F35" s="32">
        <v>-10036</v>
      </c>
      <c r="G35" s="32">
        <v>-8713</v>
      </c>
      <c r="H35" s="32">
        <v>-13524</v>
      </c>
      <c r="I35" s="32">
        <v>-12228</v>
      </c>
      <c r="J35" s="32">
        <v>-10837</v>
      </c>
      <c r="K35" s="32">
        <v>-11768</v>
      </c>
      <c r="L35" s="32">
        <v>-10488</v>
      </c>
      <c r="M35" s="32">
        <v>-12191</v>
      </c>
      <c r="N35" s="32">
        <v>-11293</v>
      </c>
      <c r="O35" s="32">
        <v>-7726</v>
      </c>
      <c r="P35" s="32">
        <v>-7808</v>
      </c>
      <c r="Q35" s="32">
        <v>-4924</v>
      </c>
      <c r="R35" s="32">
        <v>-4779</v>
      </c>
      <c r="S35" s="32">
        <v>-9363</v>
      </c>
      <c r="T35" s="32">
        <v>-5045</v>
      </c>
      <c r="U35" s="32">
        <v>-4311</v>
      </c>
      <c r="V35" s="32">
        <v>-5674</v>
      </c>
      <c r="W35" s="158" t="s">
        <v>17</v>
      </c>
    </row>
    <row r="36" spans="1:23" ht="6.95" customHeight="1" x14ac:dyDescent="0.3">
      <c r="A36" s="168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158"/>
    </row>
    <row r="37" spans="1:23" ht="10.7" customHeight="1" x14ac:dyDescent="0.3">
      <c r="A37" s="168" t="s">
        <v>18</v>
      </c>
      <c r="B37" s="32">
        <v>-6372</v>
      </c>
      <c r="C37" s="32">
        <v>-6418</v>
      </c>
      <c r="D37" s="32">
        <v>-6745</v>
      </c>
      <c r="E37" s="32">
        <v>-8130</v>
      </c>
      <c r="F37" s="32">
        <v>-8697</v>
      </c>
      <c r="G37" s="32">
        <v>-8680</v>
      </c>
      <c r="H37" s="32">
        <v>-13314</v>
      </c>
      <c r="I37" s="32">
        <v>-11920</v>
      </c>
      <c r="J37" s="32">
        <v>-11076</v>
      </c>
      <c r="K37" s="32">
        <v>-10427</v>
      </c>
      <c r="L37" s="32">
        <v>-9825</v>
      </c>
      <c r="M37" s="32">
        <v>-12528</v>
      </c>
      <c r="N37" s="32">
        <v>-12772</v>
      </c>
      <c r="O37" s="32">
        <v>-10814</v>
      </c>
      <c r="P37" s="32">
        <v>-13621</v>
      </c>
      <c r="Q37" s="32">
        <v>-9655</v>
      </c>
      <c r="R37" s="32">
        <v>-9412</v>
      </c>
      <c r="S37" s="32">
        <v>-11363</v>
      </c>
      <c r="T37" s="32">
        <v>-7671</v>
      </c>
      <c r="U37" s="32">
        <v>-6590</v>
      </c>
      <c r="V37" s="32">
        <v>-6471</v>
      </c>
      <c r="W37" s="158" t="s">
        <v>18</v>
      </c>
    </row>
    <row r="38" spans="1:23" ht="10.7" customHeight="1" x14ac:dyDescent="0.3">
      <c r="A38" s="168" t="s">
        <v>19</v>
      </c>
      <c r="B38" s="32">
        <v>-2027</v>
      </c>
      <c r="C38" s="32">
        <v>-1673</v>
      </c>
      <c r="D38" s="32">
        <v>-998</v>
      </c>
      <c r="E38" s="32">
        <v>-1953</v>
      </c>
      <c r="F38" s="32">
        <v>-2676</v>
      </c>
      <c r="G38" s="32">
        <v>-3142</v>
      </c>
      <c r="H38" s="32">
        <v>-6038</v>
      </c>
      <c r="I38" s="32">
        <v>-6547</v>
      </c>
      <c r="J38" s="32">
        <v>-6867</v>
      </c>
      <c r="K38" s="32">
        <v>-6582</v>
      </c>
      <c r="L38" s="32">
        <v>-6621</v>
      </c>
      <c r="M38" s="32">
        <v>-8578</v>
      </c>
      <c r="N38" s="32">
        <v>-8735</v>
      </c>
      <c r="O38" s="32">
        <v>-7024</v>
      </c>
      <c r="P38" s="32">
        <v>-8281</v>
      </c>
      <c r="Q38" s="32">
        <v>-5357</v>
      </c>
      <c r="R38" s="32">
        <v>-6227</v>
      </c>
      <c r="S38" s="32">
        <v>-7780</v>
      </c>
      <c r="T38" s="32">
        <v>-5131</v>
      </c>
      <c r="U38" s="32">
        <v>-4735</v>
      </c>
      <c r="V38" s="32">
        <v>-4594</v>
      </c>
      <c r="W38" s="158" t="s">
        <v>19</v>
      </c>
    </row>
    <row r="39" spans="1:23" ht="10.7" customHeight="1" x14ac:dyDescent="0.3">
      <c r="A39" s="168" t="s">
        <v>20</v>
      </c>
      <c r="B39" s="32">
        <v>-2827</v>
      </c>
      <c r="C39" s="32">
        <v>-2382</v>
      </c>
      <c r="D39" s="32">
        <v>-1797</v>
      </c>
      <c r="E39" s="32">
        <v>-2807</v>
      </c>
      <c r="F39" s="32">
        <v>-3000</v>
      </c>
      <c r="G39" s="32">
        <v>-2361</v>
      </c>
      <c r="H39" s="32">
        <v>-4290</v>
      </c>
      <c r="I39" s="32">
        <v>-4700</v>
      </c>
      <c r="J39" s="32">
        <v>-4686</v>
      </c>
      <c r="K39" s="32">
        <v>-4398</v>
      </c>
      <c r="L39" s="32">
        <v>-4232</v>
      </c>
      <c r="M39" s="32">
        <v>-5861</v>
      </c>
      <c r="N39" s="32">
        <v>-6663</v>
      </c>
      <c r="O39" s="32">
        <v>-5589</v>
      </c>
      <c r="P39" s="32">
        <v>-6365</v>
      </c>
      <c r="Q39" s="32">
        <v>-4621</v>
      </c>
      <c r="R39" s="32">
        <v>-5092</v>
      </c>
      <c r="S39" s="32">
        <v>-5932</v>
      </c>
      <c r="T39" s="32">
        <v>-3676</v>
      </c>
      <c r="U39" s="32">
        <v>-3023</v>
      </c>
      <c r="V39" s="32">
        <v>-2987</v>
      </c>
      <c r="W39" s="158" t="s">
        <v>20</v>
      </c>
    </row>
    <row r="40" spans="1:23" ht="10.7" customHeight="1" x14ac:dyDescent="0.3">
      <c r="A40" s="168" t="s">
        <v>21</v>
      </c>
      <c r="B40" s="32">
        <v>-3404</v>
      </c>
      <c r="C40" s="32">
        <v>-2891</v>
      </c>
      <c r="D40" s="32">
        <v>-2494</v>
      </c>
      <c r="E40" s="32">
        <v>-3228</v>
      </c>
      <c r="F40" s="32">
        <v>-3672</v>
      </c>
      <c r="G40" s="32">
        <v>-3284</v>
      </c>
      <c r="H40" s="32">
        <v>-4697</v>
      </c>
      <c r="I40" s="32">
        <v>-4855</v>
      </c>
      <c r="J40" s="32">
        <v>-5156</v>
      </c>
      <c r="K40" s="32">
        <v>-4709</v>
      </c>
      <c r="L40" s="32">
        <v>-4465</v>
      </c>
      <c r="M40" s="32">
        <v>-5793</v>
      </c>
      <c r="N40" s="32">
        <v>-6529</v>
      </c>
      <c r="O40" s="32">
        <v>-5327</v>
      </c>
      <c r="P40" s="32">
        <v>-5249</v>
      </c>
      <c r="Q40" s="32">
        <v>-4560</v>
      </c>
      <c r="R40" s="32">
        <v>-5202</v>
      </c>
      <c r="S40" s="32">
        <v>-6177</v>
      </c>
      <c r="T40" s="32">
        <v>-4354</v>
      </c>
      <c r="U40" s="32">
        <v>-3914</v>
      </c>
      <c r="V40" s="32">
        <v>-4051</v>
      </c>
      <c r="W40" s="158" t="s">
        <v>21</v>
      </c>
    </row>
    <row r="41" spans="1:23" ht="10.7" customHeight="1" x14ac:dyDescent="0.3">
      <c r="A41" s="168" t="s">
        <v>22</v>
      </c>
      <c r="B41" s="32">
        <v>-3203</v>
      </c>
      <c r="C41" s="32">
        <v>-2925</v>
      </c>
      <c r="D41" s="32">
        <v>-2835</v>
      </c>
      <c r="E41" s="32">
        <v>-3410</v>
      </c>
      <c r="F41" s="32">
        <v>-3431</v>
      </c>
      <c r="G41" s="32">
        <v>-3042</v>
      </c>
      <c r="H41" s="32">
        <v>-4236</v>
      </c>
      <c r="I41" s="32">
        <v>-4671</v>
      </c>
      <c r="J41" s="32">
        <v>-4755</v>
      </c>
      <c r="K41" s="32">
        <v>-4513</v>
      </c>
      <c r="L41" s="32">
        <v>-4548</v>
      </c>
      <c r="M41" s="32">
        <v>-6445</v>
      </c>
      <c r="N41" s="32">
        <v>-6873</v>
      </c>
      <c r="O41" s="32">
        <v>-6016</v>
      </c>
      <c r="P41" s="32">
        <v>-6481</v>
      </c>
      <c r="Q41" s="32">
        <v>-4778</v>
      </c>
      <c r="R41" s="32">
        <v>-4894</v>
      </c>
      <c r="S41" s="32">
        <v>-5999</v>
      </c>
      <c r="T41" s="32">
        <v>-4458</v>
      </c>
      <c r="U41" s="32">
        <v>-4235</v>
      </c>
      <c r="V41" s="32">
        <v>-4111</v>
      </c>
      <c r="W41" s="158" t="s">
        <v>22</v>
      </c>
    </row>
    <row r="42" spans="1:23" ht="10.7" customHeight="1" x14ac:dyDescent="0.3">
      <c r="A42" s="168" t="s">
        <v>279</v>
      </c>
      <c r="B42" s="32">
        <v>-5325</v>
      </c>
      <c r="C42" s="32">
        <v>-6269</v>
      </c>
      <c r="D42" s="32">
        <v>-6383</v>
      </c>
      <c r="E42" s="32">
        <v>-7208</v>
      </c>
      <c r="F42" s="32">
        <v>-8956</v>
      </c>
      <c r="G42" s="32">
        <v>-6764</v>
      </c>
      <c r="H42" s="32">
        <v>-9124</v>
      </c>
      <c r="I42" s="32">
        <v>-10464</v>
      </c>
      <c r="J42" s="32">
        <v>-9536</v>
      </c>
      <c r="K42" s="32">
        <v>-9612</v>
      </c>
      <c r="L42" s="32">
        <v>-10006</v>
      </c>
      <c r="M42" s="32">
        <v>-15147</v>
      </c>
      <c r="N42" s="32">
        <v>-15877</v>
      </c>
      <c r="O42" s="32">
        <v>-14723</v>
      </c>
      <c r="P42" s="32">
        <v>-15443</v>
      </c>
      <c r="Q42" s="32">
        <v>-10907</v>
      </c>
      <c r="R42" s="32">
        <v>-13222</v>
      </c>
      <c r="S42" s="32">
        <v>-15597</v>
      </c>
      <c r="T42" s="32">
        <v>-11722</v>
      </c>
      <c r="U42" s="32">
        <v>-11530</v>
      </c>
      <c r="V42" s="32">
        <v>-12246</v>
      </c>
      <c r="W42" s="158" t="s">
        <v>278</v>
      </c>
    </row>
    <row r="43" spans="1:23" ht="6.95" customHeight="1" x14ac:dyDescent="0.3">
      <c r="A43" s="168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158"/>
    </row>
    <row r="44" spans="1:23" ht="10.7" customHeight="1" x14ac:dyDescent="0.3">
      <c r="A44" s="168" t="s">
        <v>299</v>
      </c>
      <c r="B44" s="32">
        <v>-7315</v>
      </c>
      <c r="C44" s="32">
        <v>-5745</v>
      </c>
      <c r="D44" s="32">
        <v>-251</v>
      </c>
      <c r="E44" s="32">
        <v>1982</v>
      </c>
      <c r="F44" s="32">
        <v>1390</v>
      </c>
      <c r="G44" s="32">
        <v>1813</v>
      </c>
      <c r="H44" s="32">
        <v>-8378</v>
      </c>
      <c r="I44" s="32">
        <v>-5058</v>
      </c>
      <c r="J44" s="32">
        <v>-1326</v>
      </c>
      <c r="K44" s="32">
        <v>-3094</v>
      </c>
      <c r="L44" s="32">
        <v>636</v>
      </c>
      <c r="M44" s="32">
        <v>-5723</v>
      </c>
      <c r="N44" s="32">
        <v>-1942</v>
      </c>
      <c r="O44" s="32">
        <v>5176</v>
      </c>
      <c r="P44" s="32">
        <v>6474</v>
      </c>
      <c r="Q44" s="32">
        <v>13242</v>
      </c>
      <c r="R44" s="32">
        <v>10933</v>
      </c>
      <c r="S44" s="32">
        <v>4000</v>
      </c>
      <c r="T44" s="32">
        <v>19506</v>
      </c>
      <c r="U44" s="32">
        <v>16734</v>
      </c>
      <c r="V44" s="32">
        <v>10925</v>
      </c>
      <c r="W44" s="158" t="s">
        <v>299</v>
      </c>
    </row>
    <row r="45" spans="1:23" ht="10.7" customHeight="1" x14ac:dyDescent="0.3">
      <c r="A45" s="168" t="s">
        <v>300</v>
      </c>
      <c r="B45" s="32">
        <v>-14285</v>
      </c>
      <c r="C45" s="32">
        <v>-12773</v>
      </c>
      <c r="D45" s="32">
        <v>-10914</v>
      </c>
      <c r="E45" s="32">
        <v>-14335</v>
      </c>
      <c r="F45" s="32">
        <v>-16436</v>
      </c>
      <c r="G45" s="32">
        <v>-14702</v>
      </c>
      <c r="H45" s="32">
        <v>-23029</v>
      </c>
      <c r="I45" s="32">
        <v>-24682</v>
      </c>
      <c r="J45" s="32">
        <v>-25309</v>
      </c>
      <c r="K45" s="32">
        <v>-23859</v>
      </c>
      <c r="L45" s="32">
        <v>-23607</v>
      </c>
      <c r="M45" s="32">
        <v>-32091</v>
      </c>
      <c r="N45" s="32">
        <v>-34723</v>
      </c>
      <c r="O45" s="32">
        <v>-29436</v>
      </c>
      <c r="P45" s="32">
        <v>-32188</v>
      </c>
      <c r="Q45" s="32">
        <v>-23501</v>
      </c>
      <c r="R45" s="32">
        <v>-26242</v>
      </c>
      <c r="S45" s="32">
        <v>-32006</v>
      </c>
      <c r="T45" s="32">
        <v>-21982</v>
      </c>
      <c r="U45" s="32">
        <v>-20347</v>
      </c>
      <c r="V45" s="32">
        <v>-20137</v>
      </c>
      <c r="W45" s="158" t="s">
        <v>300</v>
      </c>
    </row>
    <row r="46" spans="1:23" ht="6.95" customHeight="1" x14ac:dyDescent="0.3">
      <c r="A46" s="168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158"/>
    </row>
    <row r="47" spans="1:23" ht="10.7" customHeight="1" x14ac:dyDescent="0.3">
      <c r="A47" s="169" t="s">
        <v>225</v>
      </c>
      <c r="B47" s="32">
        <v>-1002</v>
      </c>
      <c r="C47" s="32">
        <v>5343</v>
      </c>
      <c r="D47" s="32">
        <v>5591</v>
      </c>
      <c r="E47" s="32">
        <v>11268</v>
      </c>
      <c r="F47" s="32">
        <v>4325</v>
      </c>
      <c r="G47" s="32">
        <v>985</v>
      </c>
      <c r="H47" s="32">
        <v>1633</v>
      </c>
      <c r="I47" s="32">
        <v>14054</v>
      </c>
      <c r="J47" s="32">
        <v>13721</v>
      </c>
      <c r="K47" s="32">
        <v>11088</v>
      </c>
      <c r="L47" s="32">
        <v>4014</v>
      </c>
      <c r="M47" s="32">
        <v>4480</v>
      </c>
      <c r="N47" s="32">
        <v>2969</v>
      </c>
      <c r="O47" s="32">
        <v>-888</v>
      </c>
      <c r="P47" s="32">
        <v>21</v>
      </c>
      <c r="Q47" s="32">
        <v>-1282</v>
      </c>
      <c r="R47" s="32">
        <v>-8160</v>
      </c>
      <c r="S47" s="32">
        <v>5839</v>
      </c>
      <c r="T47" s="32">
        <v>14146</v>
      </c>
      <c r="U47" s="32">
        <v>16489</v>
      </c>
      <c r="V47" s="32">
        <v>12201</v>
      </c>
      <c r="W47" s="167" t="s">
        <v>225</v>
      </c>
    </row>
    <row r="48" spans="1:23" ht="6.95" customHeight="1" x14ac:dyDescent="0.3">
      <c r="A48" s="168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58"/>
    </row>
    <row r="49" spans="1:23" ht="10.7" customHeight="1" x14ac:dyDescent="0.3">
      <c r="A49" s="168" t="s">
        <v>11</v>
      </c>
      <c r="B49" s="32">
        <v>255</v>
      </c>
      <c r="C49" s="32">
        <v>958</v>
      </c>
      <c r="D49" s="32">
        <v>451</v>
      </c>
      <c r="E49" s="32">
        <v>1314</v>
      </c>
      <c r="F49" s="32">
        <v>1014</v>
      </c>
      <c r="G49" s="32">
        <v>371</v>
      </c>
      <c r="H49" s="32">
        <v>158</v>
      </c>
      <c r="I49" s="32">
        <v>2059</v>
      </c>
      <c r="J49" s="32">
        <v>1596</v>
      </c>
      <c r="K49" s="32">
        <v>960</v>
      </c>
      <c r="L49" s="32">
        <v>174</v>
      </c>
      <c r="M49" s="32">
        <v>320</v>
      </c>
      <c r="N49" s="32">
        <v>-47</v>
      </c>
      <c r="O49" s="32">
        <v>-452</v>
      </c>
      <c r="P49" s="32">
        <v>-563</v>
      </c>
      <c r="Q49" s="32">
        <v>-628</v>
      </c>
      <c r="R49" s="32">
        <v>-875</v>
      </c>
      <c r="S49" s="32">
        <v>404</v>
      </c>
      <c r="T49" s="32">
        <v>1375</v>
      </c>
      <c r="U49" s="32">
        <v>1611</v>
      </c>
      <c r="V49" s="32">
        <v>1037</v>
      </c>
      <c r="W49" s="158" t="s">
        <v>11</v>
      </c>
    </row>
    <row r="50" spans="1:23" ht="10.7" customHeight="1" x14ac:dyDescent="0.3">
      <c r="A50" s="168" t="s">
        <v>12</v>
      </c>
      <c r="B50" s="32">
        <v>-270</v>
      </c>
      <c r="C50" s="32">
        <v>522</v>
      </c>
      <c r="D50" s="32">
        <v>-56</v>
      </c>
      <c r="E50" s="32">
        <v>456</v>
      </c>
      <c r="F50" s="32">
        <v>188</v>
      </c>
      <c r="G50" s="32">
        <v>-120</v>
      </c>
      <c r="H50" s="32">
        <v>-448</v>
      </c>
      <c r="I50" s="32">
        <v>736</v>
      </c>
      <c r="J50" s="32">
        <v>660</v>
      </c>
      <c r="K50" s="32">
        <v>297</v>
      </c>
      <c r="L50" s="32">
        <v>18</v>
      </c>
      <c r="M50" s="32">
        <v>29</v>
      </c>
      <c r="N50" s="32">
        <v>-90</v>
      </c>
      <c r="O50" s="32">
        <v>-454</v>
      </c>
      <c r="P50" s="32">
        <v>-459</v>
      </c>
      <c r="Q50" s="32">
        <v>-332</v>
      </c>
      <c r="R50" s="32">
        <v>-551</v>
      </c>
      <c r="S50" s="32">
        <v>224</v>
      </c>
      <c r="T50" s="32">
        <v>873</v>
      </c>
      <c r="U50" s="32">
        <v>939</v>
      </c>
      <c r="V50" s="32">
        <v>415</v>
      </c>
      <c r="W50" s="158" t="s">
        <v>12</v>
      </c>
    </row>
    <row r="51" spans="1:23" ht="10.7" customHeight="1" x14ac:dyDescent="0.3">
      <c r="A51" s="168" t="s">
        <v>13</v>
      </c>
      <c r="B51" s="32">
        <v>-491</v>
      </c>
      <c r="C51" s="32">
        <v>7</v>
      </c>
      <c r="D51" s="32">
        <v>-115</v>
      </c>
      <c r="E51" s="32">
        <v>248</v>
      </c>
      <c r="F51" s="32">
        <v>-148</v>
      </c>
      <c r="G51" s="32">
        <v>-128</v>
      </c>
      <c r="H51" s="32">
        <v>19</v>
      </c>
      <c r="I51" s="32">
        <v>553</v>
      </c>
      <c r="J51" s="32">
        <v>490</v>
      </c>
      <c r="K51" s="32">
        <v>382</v>
      </c>
      <c r="L51" s="32">
        <v>281</v>
      </c>
      <c r="M51" s="32">
        <v>108</v>
      </c>
      <c r="N51" s="32">
        <v>96</v>
      </c>
      <c r="O51" s="32">
        <v>-110</v>
      </c>
      <c r="P51" s="32">
        <v>-82</v>
      </c>
      <c r="Q51" s="32">
        <v>-15</v>
      </c>
      <c r="R51" s="32">
        <v>-301</v>
      </c>
      <c r="S51" s="32">
        <v>222</v>
      </c>
      <c r="T51" s="32">
        <v>553</v>
      </c>
      <c r="U51" s="32">
        <v>625</v>
      </c>
      <c r="V51" s="32">
        <v>319</v>
      </c>
      <c r="W51" s="158" t="s">
        <v>13</v>
      </c>
    </row>
    <row r="52" spans="1:23" ht="10.7" customHeight="1" x14ac:dyDescent="0.3">
      <c r="A52" s="168" t="s">
        <v>14</v>
      </c>
      <c r="B52" s="32">
        <v>-141</v>
      </c>
      <c r="C52" s="32">
        <v>206</v>
      </c>
      <c r="D52" s="32">
        <v>131</v>
      </c>
      <c r="E52" s="32">
        <v>267</v>
      </c>
      <c r="F52" s="32">
        <v>24</v>
      </c>
      <c r="G52" s="32">
        <v>70</v>
      </c>
      <c r="H52" s="32">
        <v>133</v>
      </c>
      <c r="I52" s="32">
        <v>357</v>
      </c>
      <c r="J52" s="32">
        <v>419</v>
      </c>
      <c r="K52" s="32">
        <v>355</v>
      </c>
      <c r="L52" s="32">
        <v>154</v>
      </c>
      <c r="M52" s="32">
        <v>168</v>
      </c>
      <c r="N52" s="32">
        <v>145</v>
      </c>
      <c r="O52" s="32">
        <v>-127</v>
      </c>
      <c r="P52" s="32">
        <v>18</v>
      </c>
      <c r="Q52" s="32">
        <v>-15</v>
      </c>
      <c r="R52" s="32">
        <v>-19</v>
      </c>
      <c r="S52" s="32">
        <v>225</v>
      </c>
      <c r="T52" s="32">
        <v>277</v>
      </c>
      <c r="U52" s="32">
        <v>431</v>
      </c>
      <c r="V52" s="32">
        <v>328</v>
      </c>
      <c r="W52" s="158" t="s">
        <v>14</v>
      </c>
    </row>
    <row r="53" spans="1:23" ht="10.7" customHeight="1" x14ac:dyDescent="0.3">
      <c r="A53" s="168" t="s">
        <v>15</v>
      </c>
      <c r="B53" s="32">
        <v>768</v>
      </c>
      <c r="C53" s="32">
        <v>825</v>
      </c>
      <c r="D53" s="32">
        <v>827</v>
      </c>
      <c r="E53" s="32">
        <v>1289</v>
      </c>
      <c r="F53" s="32">
        <v>548</v>
      </c>
      <c r="G53" s="32">
        <v>-64</v>
      </c>
      <c r="H53" s="32">
        <v>397</v>
      </c>
      <c r="I53" s="32">
        <v>581</v>
      </c>
      <c r="J53" s="32">
        <v>1145</v>
      </c>
      <c r="K53" s="32">
        <v>1013</v>
      </c>
      <c r="L53" s="32">
        <v>391</v>
      </c>
      <c r="M53" s="32">
        <v>302</v>
      </c>
      <c r="N53" s="32">
        <v>768</v>
      </c>
      <c r="O53" s="32">
        <v>555</v>
      </c>
      <c r="P53" s="32">
        <v>662</v>
      </c>
      <c r="Q53" s="32">
        <v>540</v>
      </c>
      <c r="R53" s="32">
        <v>-286</v>
      </c>
      <c r="S53" s="32">
        <v>275</v>
      </c>
      <c r="T53" s="32">
        <v>473</v>
      </c>
      <c r="U53" s="32">
        <v>456</v>
      </c>
      <c r="V53" s="32">
        <v>495</v>
      </c>
      <c r="W53" s="158" t="s">
        <v>15</v>
      </c>
    </row>
    <row r="54" spans="1:23" ht="10.7" customHeight="1" x14ac:dyDescent="0.3">
      <c r="A54" s="168" t="s">
        <v>16</v>
      </c>
      <c r="B54" s="32">
        <v>786</v>
      </c>
      <c r="C54" s="32">
        <v>1199</v>
      </c>
      <c r="D54" s="32">
        <v>1763</v>
      </c>
      <c r="E54" s="32">
        <v>2623</v>
      </c>
      <c r="F54" s="32">
        <v>1621</v>
      </c>
      <c r="G54" s="32">
        <v>484</v>
      </c>
      <c r="H54" s="32">
        <v>212</v>
      </c>
      <c r="I54" s="32">
        <v>1316</v>
      </c>
      <c r="J54" s="32">
        <v>1693</v>
      </c>
      <c r="K54" s="32">
        <v>1229</v>
      </c>
      <c r="L54" s="32">
        <v>439</v>
      </c>
      <c r="M54" s="32">
        <v>249</v>
      </c>
      <c r="N54" s="32">
        <v>645</v>
      </c>
      <c r="O54" s="32">
        <v>497</v>
      </c>
      <c r="P54" s="32">
        <v>314</v>
      </c>
      <c r="Q54" s="32">
        <v>116</v>
      </c>
      <c r="R54" s="32">
        <v>-1034</v>
      </c>
      <c r="S54" s="32">
        <v>478</v>
      </c>
      <c r="T54" s="32">
        <v>1091</v>
      </c>
      <c r="U54" s="32">
        <v>1201</v>
      </c>
      <c r="V54" s="32">
        <v>1396</v>
      </c>
      <c r="W54" s="158" t="s">
        <v>16</v>
      </c>
    </row>
    <row r="55" spans="1:23" ht="10.7" customHeight="1" x14ac:dyDescent="0.3">
      <c r="A55" s="168" t="s">
        <v>17</v>
      </c>
      <c r="B55" s="32">
        <v>140</v>
      </c>
      <c r="C55" s="32">
        <v>960</v>
      </c>
      <c r="D55" s="32">
        <v>1266</v>
      </c>
      <c r="E55" s="32">
        <v>2397</v>
      </c>
      <c r="F55" s="32">
        <v>1466</v>
      </c>
      <c r="G55" s="32">
        <v>659</v>
      </c>
      <c r="H55" s="32">
        <v>432</v>
      </c>
      <c r="I55" s="32">
        <v>2585</v>
      </c>
      <c r="J55" s="32">
        <v>2341</v>
      </c>
      <c r="K55" s="32">
        <v>2426</v>
      </c>
      <c r="L55" s="32">
        <v>959</v>
      </c>
      <c r="M55" s="32">
        <v>1142</v>
      </c>
      <c r="N55" s="32">
        <v>643</v>
      </c>
      <c r="O55" s="32">
        <v>237</v>
      </c>
      <c r="P55" s="32">
        <v>279</v>
      </c>
      <c r="Q55" s="32">
        <v>-209</v>
      </c>
      <c r="R55" s="32">
        <v>-1164</v>
      </c>
      <c r="S55" s="32">
        <v>1020</v>
      </c>
      <c r="T55" s="32">
        <v>2275</v>
      </c>
      <c r="U55" s="32">
        <v>2165</v>
      </c>
      <c r="V55" s="32">
        <v>1782</v>
      </c>
      <c r="W55" s="158" t="s">
        <v>17</v>
      </c>
    </row>
    <row r="56" spans="1:23" ht="6.95" customHeight="1" x14ac:dyDescent="0.3">
      <c r="A56" s="168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158"/>
    </row>
    <row r="57" spans="1:23" ht="10.7" customHeight="1" x14ac:dyDescent="0.3">
      <c r="A57" s="168" t="s">
        <v>18</v>
      </c>
      <c r="B57" s="32">
        <v>-346</v>
      </c>
      <c r="C57" s="32">
        <v>590</v>
      </c>
      <c r="D57" s="32">
        <v>732</v>
      </c>
      <c r="E57" s="32">
        <v>1240</v>
      </c>
      <c r="F57" s="32">
        <v>419</v>
      </c>
      <c r="G57" s="32">
        <v>135</v>
      </c>
      <c r="H57" s="32">
        <v>214</v>
      </c>
      <c r="I57" s="32">
        <v>2238</v>
      </c>
      <c r="J57" s="32">
        <v>2013</v>
      </c>
      <c r="K57" s="32">
        <v>1451</v>
      </c>
      <c r="L57" s="32">
        <v>668</v>
      </c>
      <c r="M57" s="32">
        <v>765</v>
      </c>
      <c r="N57" s="32">
        <v>324</v>
      </c>
      <c r="O57" s="32">
        <v>-271</v>
      </c>
      <c r="P57" s="32">
        <v>-169</v>
      </c>
      <c r="Q57" s="32">
        <v>-245</v>
      </c>
      <c r="R57" s="32">
        <v>-956</v>
      </c>
      <c r="S57" s="32">
        <v>1290</v>
      </c>
      <c r="T57" s="32">
        <v>2424</v>
      </c>
      <c r="U57" s="32">
        <v>2907</v>
      </c>
      <c r="V57" s="32">
        <v>1764</v>
      </c>
      <c r="W57" s="158" t="s">
        <v>18</v>
      </c>
    </row>
    <row r="58" spans="1:23" ht="10.7" customHeight="1" x14ac:dyDescent="0.3">
      <c r="A58" s="168" t="s">
        <v>19</v>
      </c>
      <c r="B58" s="32">
        <v>-696</v>
      </c>
      <c r="C58" s="32">
        <v>-16</v>
      </c>
      <c r="D58" s="32">
        <v>-58</v>
      </c>
      <c r="E58" s="32">
        <v>333</v>
      </c>
      <c r="F58" s="32">
        <v>-271</v>
      </c>
      <c r="G58" s="32">
        <v>-327</v>
      </c>
      <c r="H58" s="32">
        <v>214</v>
      </c>
      <c r="I58" s="32">
        <v>1042</v>
      </c>
      <c r="J58" s="32">
        <v>883</v>
      </c>
      <c r="K58" s="32">
        <v>947</v>
      </c>
      <c r="L58" s="32">
        <v>180</v>
      </c>
      <c r="M58" s="32">
        <v>286</v>
      </c>
      <c r="N58" s="32">
        <v>214</v>
      </c>
      <c r="O58" s="32">
        <v>-277</v>
      </c>
      <c r="P58" s="32">
        <v>-360</v>
      </c>
      <c r="Q58" s="32">
        <v>-15</v>
      </c>
      <c r="R58" s="32">
        <v>-667</v>
      </c>
      <c r="S58" s="32">
        <v>897</v>
      </c>
      <c r="T58" s="32">
        <v>1740</v>
      </c>
      <c r="U58" s="32">
        <v>1980</v>
      </c>
      <c r="V58" s="32">
        <v>1252</v>
      </c>
      <c r="W58" s="158" t="s">
        <v>19</v>
      </c>
    </row>
    <row r="59" spans="1:23" ht="10.7" customHeight="1" x14ac:dyDescent="0.3">
      <c r="A59" s="168" t="s">
        <v>20</v>
      </c>
      <c r="B59" s="32">
        <v>-628</v>
      </c>
      <c r="C59" s="32">
        <v>-254</v>
      </c>
      <c r="D59" s="32">
        <v>-155</v>
      </c>
      <c r="E59" s="32">
        <v>83</v>
      </c>
      <c r="F59" s="32">
        <v>-515</v>
      </c>
      <c r="G59" s="32">
        <v>-358</v>
      </c>
      <c r="H59" s="32">
        <v>-61</v>
      </c>
      <c r="I59" s="32">
        <v>497</v>
      </c>
      <c r="J59" s="32">
        <v>550</v>
      </c>
      <c r="K59" s="32">
        <v>321</v>
      </c>
      <c r="L59" s="32">
        <v>35</v>
      </c>
      <c r="M59" s="32">
        <v>108</v>
      </c>
      <c r="N59" s="32">
        <v>217</v>
      </c>
      <c r="O59" s="32">
        <v>-175</v>
      </c>
      <c r="P59" s="32">
        <v>6</v>
      </c>
      <c r="Q59" s="32">
        <v>-77</v>
      </c>
      <c r="R59" s="32">
        <v>-402</v>
      </c>
      <c r="S59" s="32">
        <v>336</v>
      </c>
      <c r="T59" s="32">
        <v>945</v>
      </c>
      <c r="U59" s="32">
        <v>1026</v>
      </c>
      <c r="V59" s="32">
        <v>902</v>
      </c>
      <c r="W59" s="158" t="s">
        <v>20</v>
      </c>
    </row>
    <row r="60" spans="1:23" ht="10.7" customHeight="1" x14ac:dyDescent="0.3">
      <c r="A60" s="168" t="s">
        <v>21</v>
      </c>
      <c r="B60" s="32">
        <v>-230</v>
      </c>
      <c r="C60" s="32">
        <v>-134</v>
      </c>
      <c r="D60" s="32">
        <v>32</v>
      </c>
      <c r="E60" s="32">
        <v>96</v>
      </c>
      <c r="F60" s="32">
        <v>-259</v>
      </c>
      <c r="G60" s="32">
        <v>-7</v>
      </c>
      <c r="H60" s="32">
        <v>-14</v>
      </c>
      <c r="I60" s="32">
        <v>437</v>
      </c>
      <c r="J60" s="32">
        <v>414</v>
      </c>
      <c r="K60" s="32">
        <v>465</v>
      </c>
      <c r="L60" s="32">
        <v>-60</v>
      </c>
      <c r="M60" s="32">
        <v>182</v>
      </c>
      <c r="N60" s="32">
        <v>-78</v>
      </c>
      <c r="O60" s="32">
        <v>-249</v>
      </c>
      <c r="P60" s="32">
        <v>-101</v>
      </c>
      <c r="Q60" s="32">
        <v>-47</v>
      </c>
      <c r="R60" s="32">
        <v>-601</v>
      </c>
      <c r="S60" s="32">
        <v>101</v>
      </c>
      <c r="T60" s="32">
        <v>734</v>
      </c>
      <c r="U60" s="32">
        <v>881</v>
      </c>
      <c r="V60" s="32">
        <v>621</v>
      </c>
      <c r="W60" s="158" t="s">
        <v>21</v>
      </c>
    </row>
    <row r="61" spans="1:23" ht="10.7" customHeight="1" x14ac:dyDescent="0.3">
      <c r="A61" s="168" t="s">
        <v>22</v>
      </c>
      <c r="B61" s="32">
        <v>-122</v>
      </c>
      <c r="C61" s="32">
        <v>19</v>
      </c>
      <c r="D61" s="32">
        <v>141</v>
      </c>
      <c r="E61" s="32">
        <v>212</v>
      </c>
      <c r="F61" s="32">
        <v>-89</v>
      </c>
      <c r="G61" s="32">
        <v>-8</v>
      </c>
      <c r="H61" s="32">
        <v>-53</v>
      </c>
      <c r="I61" s="32">
        <v>278</v>
      </c>
      <c r="J61" s="32">
        <v>365</v>
      </c>
      <c r="K61" s="32">
        <v>242</v>
      </c>
      <c r="L61" s="32">
        <v>-71</v>
      </c>
      <c r="M61" s="32">
        <v>-91</v>
      </c>
      <c r="N61" s="32">
        <v>-334</v>
      </c>
      <c r="O61" s="32">
        <v>-366</v>
      </c>
      <c r="P61" s="32">
        <v>-87</v>
      </c>
      <c r="Q61" s="32">
        <v>-342</v>
      </c>
      <c r="R61" s="32">
        <v>-670</v>
      </c>
      <c r="S61" s="32">
        <v>-53</v>
      </c>
      <c r="T61" s="32">
        <v>268</v>
      </c>
      <c r="U61" s="32">
        <v>576</v>
      </c>
      <c r="V61" s="32">
        <v>306</v>
      </c>
      <c r="W61" s="158" t="s">
        <v>22</v>
      </c>
    </row>
    <row r="62" spans="1:23" ht="10.7" customHeight="1" x14ac:dyDescent="0.3">
      <c r="A62" s="168" t="s">
        <v>279</v>
      </c>
      <c r="B62" s="32">
        <v>-27</v>
      </c>
      <c r="C62" s="32">
        <v>461</v>
      </c>
      <c r="D62" s="32">
        <v>632</v>
      </c>
      <c r="E62" s="32">
        <v>710</v>
      </c>
      <c r="F62" s="32">
        <v>327</v>
      </c>
      <c r="G62" s="32">
        <v>278</v>
      </c>
      <c r="H62" s="32">
        <v>430</v>
      </c>
      <c r="I62" s="32">
        <v>1375</v>
      </c>
      <c r="J62" s="32">
        <v>1152</v>
      </c>
      <c r="K62" s="32">
        <v>1000</v>
      </c>
      <c r="L62" s="32">
        <v>846</v>
      </c>
      <c r="M62" s="32">
        <v>912</v>
      </c>
      <c r="N62" s="32">
        <v>466</v>
      </c>
      <c r="O62" s="32">
        <v>304</v>
      </c>
      <c r="P62" s="32">
        <v>563</v>
      </c>
      <c r="Q62" s="32">
        <v>-13</v>
      </c>
      <c r="R62" s="32">
        <v>-634</v>
      </c>
      <c r="S62" s="32">
        <v>420</v>
      </c>
      <c r="T62" s="32">
        <v>1118</v>
      </c>
      <c r="U62" s="32">
        <v>1691</v>
      </c>
      <c r="V62" s="32">
        <v>1584</v>
      </c>
      <c r="W62" s="158" t="s">
        <v>278</v>
      </c>
    </row>
    <row r="63" spans="1:23" ht="6.95" customHeight="1" x14ac:dyDescent="0.3">
      <c r="A63" s="168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158"/>
    </row>
    <row r="64" spans="1:23" ht="10.7" customHeight="1" x14ac:dyDescent="0.3">
      <c r="A64" s="168" t="s">
        <v>299</v>
      </c>
      <c r="B64" s="32">
        <v>1687</v>
      </c>
      <c r="C64" s="32">
        <v>3087</v>
      </c>
      <c r="D64" s="32">
        <v>3897</v>
      </c>
      <c r="E64" s="32">
        <v>6372</v>
      </c>
      <c r="F64" s="32">
        <v>3642</v>
      </c>
      <c r="G64" s="32">
        <v>1160</v>
      </c>
      <c r="H64" s="32">
        <v>1168</v>
      </c>
      <c r="I64" s="32">
        <v>4686</v>
      </c>
      <c r="J64" s="32">
        <v>5418</v>
      </c>
      <c r="K64" s="32">
        <v>4888</v>
      </c>
      <c r="L64" s="32">
        <v>1919</v>
      </c>
      <c r="M64" s="32">
        <v>1840</v>
      </c>
      <c r="N64" s="32">
        <v>2188</v>
      </c>
      <c r="O64" s="32">
        <v>1358</v>
      </c>
      <c r="P64" s="32">
        <v>1304</v>
      </c>
      <c r="Q64" s="32">
        <v>603</v>
      </c>
      <c r="R64" s="32">
        <v>-2423</v>
      </c>
      <c r="S64" s="32">
        <v>1896</v>
      </c>
      <c r="T64" s="32">
        <v>3918</v>
      </c>
      <c r="U64" s="32">
        <v>3943</v>
      </c>
      <c r="V64" s="32">
        <v>3818</v>
      </c>
      <c r="W64" s="158" t="s">
        <v>299</v>
      </c>
    </row>
    <row r="65" spans="1:23" ht="10.7" customHeight="1" x14ac:dyDescent="0.3">
      <c r="A65" s="168" t="s">
        <v>300</v>
      </c>
      <c r="B65" s="32">
        <v>-1640</v>
      </c>
      <c r="C65" s="32">
        <v>-344</v>
      </c>
      <c r="D65" s="32">
        <v>55</v>
      </c>
      <c r="E65" s="32">
        <v>882</v>
      </c>
      <c r="F65" s="32">
        <v>-1154</v>
      </c>
      <c r="G65" s="32">
        <v>-696</v>
      </c>
      <c r="H65" s="32">
        <v>99</v>
      </c>
      <c r="I65" s="32">
        <v>2562</v>
      </c>
      <c r="J65" s="32">
        <v>2491</v>
      </c>
      <c r="K65" s="32">
        <v>2112</v>
      </c>
      <c r="L65" s="32">
        <v>172</v>
      </c>
      <c r="M65" s="32">
        <v>531</v>
      </c>
      <c r="N65" s="32">
        <v>-45</v>
      </c>
      <c r="O65" s="32">
        <v>-1257</v>
      </c>
      <c r="P65" s="32">
        <v>-604</v>
      </c>
      <c r="Q65" s="32">
        <v>-867</v>
      </c>
      <c r="R65" s="32">
        <v>-3011</v>
      </c>
      <c r="S65" s="32">
        <v>1119</v>
      </c>
      <c r="T65" s="32">
        <v>3964</v>
      </c>
      <c r="U65" s="32">
        <v>4820</v>
      </c>
      <c r="V65" s="32">
        <v>3321</v>
      </c>
      <c r="W65" s="158" t="s">
        <v>300</v>
      </c>
    </row>
    <row r="66" spans="1:23" ht="6.95" customHeight="1" x14ac:dyDescent="0.3">
      <c r="A66" s="168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158"/>
    </row>
    <row r="67" spans="1:23" ht="10.7" customHeight="1" x14ac:dyDescent="0.3">
      <c r="A67" s="169" t="s">
        <v>226</v>
      </c>
      <c r="B67" s="32">
        <v>94307</v>
      </c>
      <c r="C67" s="32">
        <v>86941</v>
      </c>
      <c r="D67" s="32">
        <v>70120</v>
      </c>
      <c r="E67" s="32">
        <v>55842</v>
      </c>
      <c r="F67" s="32">
        <v>50086</v>
      </c>
      <c r="G67" s="32">
        <v>48081</v>
      </c>
      <c r="H67" s="32">
        <v>72621</v>
      </c>
      <c r="I67" s="32">
        <v>37595</v>
      </c>
      <c r="J67" s="32">
        <v>41068</v>
      </c>
      <c r="K67" s="32">
        <v>36920</v>
      </c>
      <c r="L67" s="32">
        <v>30467</v>
      </c>
      <c r="M67" s="32">
        <v>47544</v>
      </c>
      <c r="N67" s="32">
        <v>68138</v>
      </c>
      <c r="O67" s="32">
        <v>61976</v>
      </c>
      <c r="P67" s="32">
        <v>88737</v>
      </c>
      <c r="Q67" s="32">
        <v>71566</v>
      </c>
      <c r="R67" s="32">
        <v>88165</v>
      </c>
      <c r="S67" s="32">
        <v>79302</v>
      </c>
      <c r="T67" s="32">
        <v>23772</v>
      </c>
      <c r="U67" s="32">
        <v>21869</v>
      </c>
      <c r="V67" s="32">
        <v>30224</v>
      </c>
      <c r="W67" s="167" t="s">
        <v>226</v>
      </c>
    </row>
    <row r="68" spans="1:23" ht="6.95" customHeight="1" x14ac:dyDescent="0.3">
      <c r="A68" s="168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158"/>
    </row>
    <row r="69" spans="1:23" ht="10.7" customHeight="1" x14ac:dyDescent="0.3">
      <c r="A69" s="168" t="s">
        <v>11</v>
      </c>
      <c r="B69" s="32">
        <v>6899</v>
      </c>
      <c r="C69" s="32">
        <v>5822</v>
      </c>
      <c r="D69" s="32">
        <v>4691</v>
      </c>
      <c r="E69" s="32">
        <v>3872</v>
      </c>
      <c r="F69" s="32">
        <v>3656</v>
      </c>
      <c r="G69" s="32">
        <v>4134</v>
      </c>
      <c r="H69" s="32">
        <v>6711</v>
      </c>
      <c r="I69" s="32">
        <v>3198</v>
      </c>
      <c r="J69" s="32">
        <v>3410</v>
      </c>
      <c r="K69" s="32">
        <v>4155</v>
      </c>
      <c r="L69" s="32">
        <v>3023</v>
      </c>
      <c r="M69" s="32">
        <v>4257</v>
      </c>
      <c r="N69" s="32">
        <v>6230</v>
      </c>
      <c r="O69" s="32">
        <v>5935</v>
      </c>
      <c r="P69" s="32">
        <v>8286</v>
      </c>
      <c r="Q69" s="32">
        <v>5628</v>
      </c>
      <c r="R69" s="32">
        <v>5462</v>
      </c>
      <c r="S69" s="32">
        <v>3701</v>
      </c>
      <c r="T69" s="32">
        <v>1363</v>
      </c>
      <c r="U69" s="32">
        <v>1431</v>
      </c>
      <c r="V69" s="32">
        <v>2270</v>
      </c>
      <c r="W69" s="158" t="s">
        <v>11</v>
      </c>
    </row>
    <row r="70" spans="1:23" ht="10.7" customHeight="1" x14ac:dyDescent="0.3">
      <c r="A70" s="168" t="s">
        <v>12</v>
      </c>
      <c r="B70" s="32">
        <v>4437</v>
      </c>
      <c r="C70" s="32">
        <v>2670</v>
      </c>
      <c r="D70" s="32">
        <v>1920</v>
      </c>
      <c r="E70" s="32">
        <v>1011</v>
      </c>
      <c r="F70" s="32">
        <v>888</v>
      </c>
      <c r="G70" s="32">
        <v>953</v>
      </c>
      <c r="H70" s="32">
        <v>2644</v>
      </c>
      <c r="I70" s="32">
        <v>340</v>
      </c>
      <c r="J70" s="32">
        <v>794</v>
      </c>
      <c r="K70" s="32">
        <v>855</v>
      </c>
      <c r="L70" s="32">
        <v>163</v>
      </c>
      <c r="M70" s="32">
        <v>705</v>
      </c>
      <c r="N70" s="32">
        <v>1856</v>
      </c>
      <c r="O70" s="32">
        <v>2191</v>
      </c>
      <c r="P70" s="32">
        <v>3963</v>
      </c>
      <c r="Q70" s="32">
        <v>2222</v>
      </c>
      <c r="R70" s="32">
        <v>2625</v>
      </c>
      <c r="S70" s="32">
        <v>2147</v>
      </c>
      <c r="T70" s="32">
        <v>57</v>
      </c>
      <c r="U70" s="32">
        <v>201</v>
      </c>
      <c r="V70" s="32">
        <v>172</v>
      </c>
      <c r="W70" s="158" t="s">
        <v>12</v>
      </c>
    </row>
    <row r="71" spans="1:23" ht="10.7" customHeight="1" x14ac:dyDescent="0.3">
      <c r="A71" s="168" t="s">
        <v>13</v>
      </c>
      <c r="B71" s="32">
        <v>2179</v>
      </c>
      <c r="C71" s="32">
        <v>890</v>
      </c>
      <c r="D71" s="32">
        <v>315</v>
      </c>
      <c r="E71" s="32">
        <v>-635</v>
      </c>
      <c r="F71" s="32">
        <v>-13</v>
      </c>
      <c r="G71" s="32">
        <v>-67</v>
      </c>
      <c r="H71" s="32">
        <v>785</v>
      </c>
      <c r="I71" s="32">
        <v>-601</v>
      </c>
      <c r="J71" s="32">
        <v>172</v>
      </c>
      <c r="K71" s="32">
        <v>223</v>
      </c>
      <c r="L71" s="32">
        <v>-552</v>
      </c>
      <c r="M71" s="32">
        <v>148</v>
      </c>
      <c r="N71" s="32">
        <v>773</v>
      </c>
      <c r="O71" s="32">
        <v>611</v>
      </c>
      <c r="P71" s="32">
        <v>1590</v>
      </c>
      <c r="Q71" s="32">
        <v>657</v>
      </c>
      <c r="R71" s="32">
        <v>1456</v>
      </c>
      <c r="S71" s="32">
        <v>1140</v>
      </c>
      <c r="T71" s="32">
        <v>-181</v>
      </c>
      <c r="U71" s="32">
        <v>-41</v>
      </c>
      <c r="V71" s="32">
        <v>-183</v>
      </c>
      <c r="W71" s="158" t="s">
        <v>13</v>
      </c>
    </row>
    <row r="72" spans="1:23" ht="10.7" customHeight="1" x14ac:dyDescent="0.3">
      <c r="A72" s="168" t="s">
        <v>14</v>
      </c>
      <c r="B72" s="32">
        <v>3554</v>
      </c>
      <c r="C72" s="32">
        <v>2923</v>
      </c>
      <c r="D72" s="32">
        <v>2153</v>
      </c>
      <c r="E72" s="32">
        <v>1814</v>
      </c>
      <c r="F72" s="32">
        <v>1507</v>
      </c>
      <c r="G72" s="32">
        <v>1984</v>
      </c>
      <c r="H72" s="32">
        <v>2463</v>
      </c>
      <c r="I72" s="32">
        <v>1434</v>
      </c>
      <c r="J72" s="32">
        <v>1643</v>
      </c>
      <c r="K72" s="32">
        <v>1237</v>
      </c>
      <c r="L72" s="32">
        <v>597</v>
      </c>
      <c r="M72" s="32">
        <v>1387</v>
      </c>
      <c r="N72" s="32">
        <v>2584</v>
      </c>
      <c r="O72" s="32">
        <v>1831</v>
      </c>
      <c r="P72" s="32">
        <v>2512</v>
      </c>
      <c r="Q72" s="32">
        <v>2178</v>
      </c>
      <c r="R72" s="32">
        <v>2946</v>
      </c>
      <c r="S72" s="32">
        <v>2675</v>
      </c>
      <c r="T72" s="32">
        <v>701</v>
      </c>
      <c r="U72" s="32">
        <v>131</v>
      </c>
      <c r="V72" s="32">
        <v>129</v>
      </c>
      <c r="W72" s="158" t="s">
        <v>14</v>
      </c>
    </row>
    <row r="73" spans="1:23" ht="10.7" customHeight="1" x14ac:dyDescent="0.3">
      <c r="A73" s="168" t="s">
        <v>15</v>
      </c>
      <c r="B73" s="32">
        <v>12182</v>
      </c>
      <c r="C73" s="32">
        <v>13432</v>
      </c>
      <c r="D73" s="32">
        <v>10614</v>
      </c>
      <c r="E73" s="32">
        <v>7652</v>
      </c>
      <c r="F73" s="32">
        <v>5975</v>
      </c>
      <c r="G73" s="32">
        <v>5928</v>
      </c>
      <c r="H73" s="32">
        <v>7652</v>
      </c>
      <c r="I73" s="32">
        <v>3761</v>
      </c>
      <c r="J73" s="32">
        <v>4219</v>
      </c>
      <c r="K73" s="32">
        <v>3105</v>
      </c>
      <c r="L73" s="32">
        <v>3149</v>
      </c>
      <c r="M73" s="32">
        <v>4002</v>
      </c>
      <c r="N73" s="32">
        <v>5951</v>
      </c>
      <c r="O73" s="32">
        <v>4418</v>
      </c>
      <c r="P73" s="32">
        <v>5247</v>
      </c>
      <c r="Q73" s="32">
        <v>6643</v>
      </c>
      <c r="R73" s="32">
        <v>10273</v>
      </c>
      <c r="S73" s="32">
        <v>9229</v>
      </c>
      <c r="T73" s="32">
        <v>2287</v>
      </c>
      <c r="U73" s="32">
        <v>1999</v>
      </c>
      <c r="V73" s="32">
        <v>2193</v>
      </c>
      <c r="W73" s="158" t="s">
        <v>15</v>
      </c>
    </row>
    <row r="74" spans="1:23" ht="10.7" customHeight="1" x14ac:dyDescent="0.3">
      <c r="A74" s="168" t="s">
        <v>16</v>
      </c>
      <c r="B74" s="32">
        <v>21036</v>
      </c>
      <c r="C74" s="32">
        <v>23174</v>
      </c>
      <c r="D74" s="32">
        <v>19185</v>
      </c>
      <c r="E74" s="32">
        <v>13596</v>
      </c>
      <c r="F74" s="32">
        <v>10776</v>
      </c>
      <c r="G74" s="32">
        <v>10255</v>
      </c>
      <c r="H74" s="32">
        <v>14392</v>
      </c>
      <c r="I74" s="32">
        <v>9178</v>
      </c>
      <c r="J74" s="32">
        <v>8660</v>
      </c>
      <c r="K74" s="32">
        <v>7392</v>
      </c>
      <c r="L74" s="32">
        <v>6846</v>
      </c>
      <c r="M74" s="32">
        <v>7701</v>
      </c>
      <c r="N74" s="32">
        <v>9276</v>
      </c>
      <c r="O74" s="32">
        <v>8830</v>
      </c>
      <c r="P74" s="32">
        <v>10752</v>
      </c>
      <c r="Q74" s="32">
        <v>10207</v>
      </c>
      <c r="R74" s="32">
        <v>12477</v>
      </c>
      <c r="S74" s="32">
        <v>11571</v>
      </c>
      <c r="T74" s="32">
        <v>4308</v>
      </c>
      <c r="U74" s="32">
        <v>3326</v>
      </c>
      <c r="V74" s="32">
        <v>5185</v>
      </c>
      <c r="W74" s="158" t="s">
        <v>16</v>
      </c>
    </row>
    <row r="75" spans="1:23" ht="10.7" customHeight="1" x14ac:dyDescent="0.3">
      <c r="A75" s="168" t="s">
        <v>17</v>
      </c>
      <c r="B75" s="32">
        <v>16029</v>
      </c>
      <c r="C75" s="32">
        <v>14784</v>
      </c>
      <c r="D75" s="32">
        <v>12799</v>
      </c>
      <c r="E75" s="32">
        <v>10418</v>
      </c>
      <c r="F75" s="32">
        <v>8559</v>
      </c>
      <c r="G75" s="32">
        <v>8307</v>
      </c>
      <c r="H75" s="32">
        <v>12738</v>
      </c>
      <c r="I75" s="32">
        <v>7714</v>
      </c>
      <c r="J75" s="32">
        <v>8427</v>
      </c>
      <c r="K75" s="32">
        <v>8744</v>
      </c>
      <c r="L75" s="32">
        <v>7986</v>
      </c>
      <c r="M75" s="32">
        <v>8873</v>
      </c>
      <c r="N75" s="32">
        <v>10758</v>
      </c>
      <c r="O75" s="32">
        <v>9448</v>
      </c>
      <c r="P75" s="32">
        <v>12627</v>
      </c>
      <c r="Q75" s="32">
        <v>10580</v>
      </c>
      <c r="R75" s="32">
        <v>11616</v>
      </c>
      <c r="S75" s="32">
        <v>12423</v>
      </c>
      <c r="T75" s="32">
        <v>5841</v>
      </c>
      <c r="U75" s="32">
        <v>4405</v>
      </c>
      <c r="V75" s="32">
        <v>6612</v>
      </c>
      <c r="W75" s="158" t="s">
        <v>17</v>
      </c>
    </row>
    <row r="76" spans="1:23" ht="6.95" customHeight="1" x14ac:dyDescent="0.3">
      <c r="A76" s="168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158"/>
    </row>
    <row r="77" spans="1:23" ht="10.5" customHeight="1" x14ac:dyDescent="0.3">
      <c r="A77" s="168" t="s">
        <v>18</v>
      </c>
      <c r="B77" s="32">
        <v>7855</v>
      </c>
      <c r="C77" s="32">
        <v>6751</v>
      </c>
      <c r="D77" s="32">
        <v>5805</v>
      </c>
      <c r="E77" s="32">
        <v>5658</v>
      </c>
      <c r="F77" s="32">
        <v>5760</v>
      </c>
      <c r="G77" s="32">
        <v>5865</v>
      </c>
      <c r="H77" s="32">
        <v>9458</v>
      </c>
      <c r="I77" s="32">
        <v>4446</v>
      </c>
      <c r="J77" s="32">
        <v>4990</v>
      </c>
      <c r="K77" s="32">
        <v>4605</v>
      </c>
      <c r="L77" s="32">
        <v>3891</v>
      </c>
      <c r="M77" s="32">
        <v>6196</v>
      </c>
      <c r="N77" s="32">
        <v>8703</v>
      </c>
      <c r="O77" s="32">
        <v>8864</v>
      </c>
      <c r="P77" s="32">
        <v>13868</v>
      </c>
      <c r="Q77" s="32">
        <v>10923</v>
      </c>
      <c r="R77" s="32">
        <v>12544</v>
      </c>
      <c r="S77" s="32">
        <v>10726</v>
      </c>
      <c r="T77" s="32">
        <v>4446</v>
      </c>
      <c r="U77" s="32">
        <v>3448</v>
      </c>
      <c r="V77" s="32">
        <v>4625</v>
      </c>
      <c r="W77" s="158" t="s">
        <v>18</v>
      </c>
    </row>
    <row r="78" spans="1:23" ht="10.7" customHeight="1" x14ac:dyDescent="0.3">
      <c r="A78" s="168" t="s">
        <v>19</v>
      </c>
      <c r="B78" s="32">
        <v>3619</v>
      </c>
      <c r="C78" s="32">
        <v>2625</v>
      </c>
      <c r="D78" s="32">
        <v>1068</v>
      </c>
      <c r="E78" s="32">
        <v>847</v>
      </c>
      <c r="F78" s="32">
        <v>1157</v>
      </c>
      <c r="G78" s="32">
        <v>1457</v>
      </c>
      <c r="H78" s="32">
        <v>3111</v>
      </c>
      <c r="I78" s="32">
        <v>1031</v>
      </c>
      <c r="J78" s="32">
        <v>1596</v>
      </c>
      <c r="K78" s="32">
        <v>1030</v>
      </c>
      <c r="L78" s="32">
        <v>800</v>
      </c>
      <c r="M78" s="32">
        <v>2521</v>
      </c>
      <c r="N78" s="32">
        <v>4266</v>
      </c>
      <c r="O78" s="32">
        <v>4492</v>
      </c>
      <c r="P78" s="32">
        <v>7481</v>
      </c>
      <c r="Q78" s="32">
        <v>5680</v>
      </c>
      <c r="R78" s="32">
        <v>7410</v>
      </c>
      <c r="S78" s="32">
        <v>6343</v>
      </c>
      <c r="T78" s="32">
        <v>1701</v>
      </c>
      <c r="U78" s="32">
        <v>1780</v>
      </c>
      <c r="V78" s="32">
        <v>2357</v>
      </c>
      <c r="W78" s="158" t="s">
        <v>19</v>
      </c>
    </row>
    <row r="79" spans="1:23" ht="10.7" customHeight="1" x14ac:dyDescent="0.3">
      <c r="A79" s="168" t="s">
        <v>20</v>
      </c>
      <c r="B79" s="32">
        <v>3777</v>
      </c>
      <c r="C79" s="32">
        <v>2518</v>
      </c>
      <c r="D79" s="32">
        <v>1544</v>
      </c>
      <c r="E79" s="32">
        <v>1448</v>
      </c>
      <c r="F79" s="32">
        <v>1388</v>
      </c>
      <c r="G79" s="32">
        <v>1077</v>
      </c>
      <c r="H79" s="32">
        <v>1598</v>
      </c>
      <c r="I79" s="32">
        <v>207</v>
      </c>
      <c r="J79" s="32">
        <v>598</v>
      </c>
      <c r="K79" s="32">
        <v>3</v>
      </c>
      <c r="L79" s="32">
        <v>-436</v>
      </c>
      <c r="M79" s="32">
        <v>726</v>
      </c>
      <c r="N79" s="32">
        <v>2662</v>
      </c>
      <c r="O79" s="32">
        <v>2684</v>
      </c>
      <c r="P79" s="32">
        <v>4814</v>
      </c>
      <c r="Q79" s="32">
        <v>3738</v>
      </c>
      <c r="R79" s="32">
        <v>5194</v>
      </c>
      <c r="S79" s="32">
        <v>4124</v>
      </c>
      <c r="T79" s="32">
        <v>801</v>
      </c>
      <c r="U79" s="32">
        <v>438</v>
      </c>
      <c r="V79" s="32">
        <v>619</v>
      </c>
      <c r="W79" s="158" t="s">
        <v>20</v>
      </c>
    </row>
    <row r="80" spans="1:23" ht="10.7" customHeight="1" x14ac:dyDescent="0.3">
      <c r="A80" s="168" t="s">
        <v>21</v>
      </c>
      <c r="B80" s="32">
        <v>3250</v>
      </c>
      <c r="C80" s="32">
        <v>2512</v>
      </c>
      <c r="D80" s="32">
        <v>1823</v>
      </c>
      <c r="E80" s="32">
        <v>2022</v>
      </c>
      <c r="F80" s="32">
        <v>1953</v>
      </c>
      <c r="G80" s="32">
        <v>1549</v>
      </c>
      <c r="H80" s="32">
        <v>2522</v>
      </c>
      <c r="I80" s="32">
        <v>709</v>
      </c>
      <c r="J80" s="32">
        <v>927</v>
      </c>
      <c r="K80" s="32">
        <v>391</v>
      </c>
      <c r="L80" s="32">
        <v>-10</v>
      </c>
      <c r="M80" s="32">
        <v>933</v>
      </c>
      <c r="N80" s="32">
        <v>2537</v>
      </c>
      <c r="O80" s="32">
        <v>2133</v>
      </c>
      <c r="P80" s="32">
        <v>3286</v>
      </c>
      <c r="Q80" s="32">
        <v>2930</v>
      </c>
      <c r="R80" s="32">
        <v>4040</v>
      </c>
      <c r="S80" s="32">
        <v>3904</v>
      </c>
      <c r="T80" s="32">
        <v>581</v>
      </c>
      <c r="U80" s="32">
        <v>454</v>
      </c>
      <c r="V80" s="32">
        <v>878</v>
      </c>
      <c r="W80" s="158" t="s">
        <v>21</v>
      </c>
    </row>
    <row r="81" spans="1:23" ht="10.7" customHeight="1" x14ac:dyDescent="0.3">
      <c r="A81" s="168" t="s">
        <v>22</v>
      </c>
      <c r="B81" s="32">
        <v>2921</v>
      </c>
      <c r="C81" s="32">
        <v>2376</v>
      </c>
      <c r="D81" s="32">
        <v>2014</v>
      </c>
      <c r="E81" s="32">
        <v>2215</v>
      </c>
      <c r="F81" s="32">
        <v>2089</v>
      </c>
      <c r="G81" s="32">
        <v>1819</v>
      </c>
      <c r="H81" s="32">
        <v>2518</v>
      </c>
      <c r="I81" s="32">
        <v>1355</v>
      </c>
      <c r="J81" s="32">
        <v>1434</v>
      </c>
      <c r="K81" s="32">
        <v>1023</v>
      </c>
      <c r="L81" s="32">
        <v>841</v>
      </c>
      <c r="M81" s="32">
        <v>2100</v>
      </c>
      <c r="N81" s="32">
        <v>2942</v>
      </c>
      <c r="O81" s="32">
        <v>2291</v>
      </c>
      <c r="P81" s="32">
        <v>3581</v>
      </c>
      <c r="Q81" s="32">
        <v>2545</v>
      </c>
      <c r="R81" s="32">
        <v>3247</v>
      </c>
      <c r="S81" s="32">
        <v>2992</v>
      </c>
      <c r="T81" s="32">
        <v>139</v>
      </c>
      <c r="U81" s="32">
        <v>541</v>
      </c>
      <c r="V81" s="32">
        <v>620</v>
      </c>
      <c r="W81" s="158" t="s">
        <v>22</v>
      </c>
    </row>
    <row r="82" spans="1:23" ht="10.7" customHeight="1" x14ac:dyDescent="0.3">
      <c r="A82" s="168" t="s">
        <v>279</v>
      </c>
      <c r="B82" s="32">
        <v>6569</v>
      </c>
      <c r="C82" s="32">
        <v>6464</v>
      </c>
      <c r="D82" s="32">
        <v>6189</v>
      </c>
      <c r="E82" s="32">
        <v>5924</v>
      </c>
      <c r="F82" s="32">
        <v>6391</v>
      </c>
      <c r="G82" s="32">
        <v>4820</v>
      </c>
      <c r="H82" s="32">
        <v>6029</v>
      </c>
      <c r="I82" s="32">
        <v>4823</v>
      </c>
      <c r="J82" s="32">
        <v>4198</v>
      </c>
      <c r="K82" s="32">
        <v>4157</v>
      </c>
      <c r="L82" s="32">
        <v>4169</v>
      </c>
      <c r="M82" s="32">
        <v>7995</v>
      </c>
      <c r="N82" s="32">
        <v>9600</v>
      </c>
      <c r="O82" s="32">
        <v>8248</v>
      </c>
      <c r="P82" s="32">
        <v>10730</v>
      </c>
      <c r="Q82" s="32">
        <v>7635</v>
      </c>
      <c r="R82" s="32">
        <v>8875</v>
      </c>
      <c r="S82" s="32">
        <v>8327</v>
      </c>
      <c r="T82" s="32">
        <v>1728</v>
      </c>
      <c r="U82" s="32">
        <v>3756</v>
      </c>
      <c r="V82" s="32">
        <v>4747</v>
      </c>
      <c r="W82" s="158" t="s">
        <v>278</v>
      </c>
    </row>
    <row r="83" spans="1:23" ht="6.95" customHeight="1" x14ac:dyDescent="0.3">
      <c r="A83" s="168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58"/>
    </row>
    <row r="84" spans="1:23" ht="10.7" customHeight="1" x14ac:dyDescent="0.3">
      <c r="A84" s="168" t="s">
        <v>299</v>
      </c>
      <c r="B84" s="32">
        <v>50213</v>
      </c>
      <c r="C84" s="32">
        <v>52420</v>
      </c>
      <c r="D84" s="32">
        <v>43298</v>
      </c>
      <c r="E84" s="32">
        <v>32379</v>
      </c>
      <c r="F84" s="32">
        <v>25960</v>
      </c>
      <c r="G84" s="32">
        <v>25182</v>
      </c>
      <c r="H84" s="32">
        <v>35079</v>
      </c>
      <c r="I84" s="32">
        <v>20373</v>
      </c>
      <c r="J84" s="32">
        <v>20743</v>
      </c>
      <c r="K84" s="32">
        <v>18670</v>
      </c>
      <c r="L84" s="32">
        <v>17363</v>
      </c>
      <c r="M84" s="32">
        <v>20056</v>
      </c>
      <c r="N84" s="32">
        <v>26027</v>
      </c>
      <c r="O84" s="32">
        <v>22215</v>
      </c>
      <c r="P84" s="32">
        <v>28464</v>
      </c>
      <c r="Q84" s="32">
        <v>26936</v>
      </c>
      <c r="R84" s="32">
        <v>34533</v>
      </c>
      <c r="S84" s="32">
        <v>33077</v>
      </c>
      <c r="T84" s="32">
        <v>11593</v>
      </c>
      <c r="U84" s="32">
        <v>8813</v>
      </c>
      <c r="V84" s="32">
        <v>13482</v>
      </c>
      <c r="W84" s="158" t="s">
        <v>299</v>
      </c>
    </row>
    <row r="85" spans="1:23" ht="10.7" customHeight="1" x14ac:dyDescent="0.3">
      <c r="A85" s="168" t="s">
        <v>300</v>
      </c>
      <c r="B85" s="32">
        <v>16142</v>
      </c>
      <c r="C85" s="32">
        <v>12651</v>
      </c>
      <c r="D85" s="32">
        <v>8607</v>
      </c>
      <c r="E85" s="32">
        <v>8639</v>
      </c>
      <c r="F85" s="32">
        <v>9104</v>
      </c>
      <c r="G85" s="32">
        <v>7677</v>
      </c>
      <c r="H85" s="32">
        <v>12005</v>
      </c>
      <c r="I85" s="32">
        <v>4845</v>
      </c>
      <c r="J85" s="32">
        <v>5972</v>
      </c>
      <c r="K85" s="32">
        <v>3653</v>
      </c>
      <c r="L85" s="32">
        <v>2262</v>
      </c>
      <c r="M85" s="32">
        <v>8449</v>
      </c>
      <c r="N85" s="32">
        <v>15209</v>
      </c>
      <c r="O85" s="32">
        <v>14018</v>
      </c>
      <c r="P85" s="32">
        <v>22504</v>
      </c>
      <c r="Q85" s="32">
        <v>17248</v>
      </c>
      <c r="R85" s="32">
        <v>22672</v>
      </c>
      <c r="S85" s="32">
        <v>19817</v>
      </c>
      <c r="T85" s="32">
        <v>2717</v>
      </c>
      <c r="U85" s="32">
        <v>3461</v>
      </c>
      <c r="V85" s="32">
        <v>5178</v>
      </c>
      <c r="W85" s="158" t="s">
        <v>300</v>
      </c>
    </row>
    <row r="86" spans="1:23" ht="6.95" customHeight="1" thickBot="1" x14ac:dyDescent="0.35">
      <c r="A86" s="170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159"/>
    </row>
    <row r="87" spans="1:23" ht="10.7" customHeight="1" x14ac:dyDescent="0.3">
      <c r="A87" s="160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160"/>
    </row>
  </sheetData>
  <mergeCells count="4">
    <mergeCell ref="A3:A5"/>
    <mergeCell ref="W3:W5"/>
    <mergeCell ref="A1:K1"/>
    <mergeCell ref="L1:W1"/>
  </mergeCells>
  <phoneticPr fontId="1" type="noConversion"/>
  <conditionalFormatting sqref="B7:V85">
    <cfRule type="cellIs" dxfId="11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2" fitToWidth="2" orientation="portrait" r:id="rId1"/>
  <colBreaks count="1" manualBreakCount="1">
    <brk id="11" max="8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7"/>
  <sheetViews>
    <sheetView showGridLines="0" view="pageBreakPreview" zoomScale="115" zoomScaleNormal="70" zoomScaleSheetLayoutView="115" workbookViewId="0">
      <selection sqref="A1:K1"/>
    </sheetView>
  </sheetViews>
  <sheetFormatPr defaultColWidth="7.375" defaultRowHeight="12.75" customHeight="1" x14ac:dyDescent="0.3"/>
  <cols>
    <col min="1" max="1" width="13.125" style="54" customWidth="1"/>
    <col min="2" max="11" width="8.375" style="10" customWidth="1"/>
    <col min="12" max="16" width="7.625" style="10" customWidth="1"/>
    <col min="17" max="22" width="7.625" style="54" customWidth="1"/>
    <col min="23" max="23" width="13.125" style="54" customWidth="1"/>
    <col min="24" max="16384" width="7.375" style="10"/>
  </cols>
  <sheetData>
    <row r="1" spans="1:23" s="3" customFormat="1" ht="25.5" customHeight="1" x14ac:dyDescent="0.3">
      <c r="A1" s="279" t="s">
        <v>259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80" t="s">
        <v>248</v>
      </c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</row>
    <row r="2" spans="1:23" s="4" customFormat="1" ht="12.75" customHeight="1" thickBot="1" x14ac:dyDescent="0.35">
      <c r="A2" s="7"/>
      <c r="I2" s="14"/>
      <c r="Q2" s="53"/>
      <c r="R2" s="53"/>
      <c r="S2" s="53"/>
      <c r="T2" s="53"/>
      <c r="U2" s="53"/>
      <c r="V2" s="53"/>
      <c r="W2" s="7" t="s">
        <v>23</v>
      </c>
    </row>
    <row r="3" spans="1:23" s="64" customFormat="1" ht="10.7" customHeight="1" x14ac:dyDescent="0.3">
      <c r="A3" s="276" t="s">
        <v>301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2"/>
      <c r="U3" s="163"/>
      <c r="V3" s="162"/>
      <c r="W3" s="273" t="s">
        <v>302</v>
      </c>
    </row>
    <row r="4" spans="1:23" s="64" customFormat="1" ht="10.7" customHeight="1" x14ac:dyDescent="0.3">
      <c r="A4" s="277"/>
      <c r="B4" s="164">
        <v>2004</v>
      </c>
      <c r="C4" s="164">
        <v>2005</v>
      </c>
      <c r="D4" s="164">
        <v>2006</v>
      </c>
      <c r="E4" s="164">
        <v>2007</v>
      </c>
      <c r="F4" s="164">
        <v>2008</v>
      </c>
      <c r="G4" s="164">
        <v>2009</v>
      </c>
      <c r="H4" s="164">
        <v>2010</v>
      </c>
      <c r="I4" s="164">
        <v>2011</v>
      </c>
      <c r="J4" s="164">
        <f t="shared" ref="J4:O4" si="0">K4-1</f>
        <v>2012</v>
      </c>
      <c r="K4" s="164">
        <f t="shared" si="0"/>
        <v>2013</v>
      </c>
      <c r="L4" s="164">
        <f t="shared" si="0"/>
        <v>2014</v>
      </c>
      <c r="M4" s="164">
        <f t="shared" si="0"/>
        <v>2015</v>
      </c>
      <c r="N4" s="164">
        <f t="shared" si="0"/>
        <v>2016</v>
      </c>
      <c r="O4" s="164">
        <f t="shared" si="0"/>
        <v>2017</v>
      </c>
      <c r="P4" s="164">
        <v>2018</v>
      </c>
      <c r="Q4" s="164">
        <v>2019</v>
      </c>
      <c r="R4" s="164">
        <v>2020</v>
      </c>
      <c r="S4" s="164">
        <v>2021</v>
      </c>
      <c r="T4" s="147">
        <v>2022</v>
      </c>
      <c r="U4" s="164">
        <v>2023</v>
      </c>
      <c r="V4" s="146">
        <v>2024</v>
      </c>
      <c r="W4" s="274"/>
    </row>
    <row r="5" spans="1:23" s="64" customFormat="1" ht="10.7" customHeight="1" x14ac:dyDescent="0.3">
      <c r="A5" s="278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65"/>
      <c r="V5" s="161"/>
      <c r="W5" s="275"/>
    </row>
    <row r="6" spans="1:23" s="64" customFormat="1" ht="6.95" customHeight="1" x14ac:dyDescent="0.3">
      <c r="A6" s="168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58"/>
    </row>
    <row r="7" spans="1:23" ht="10.7" customHeight="1" x14ac:dyDescent="0.3">
      <c r="A7" s="169" t="s">
        <v>223</v>
      </c>
      <c r="B7" s="32">
        <v>79207</v>
      </c>
      <c r="C7" s="32">
        <v>70138</v>
      </c>
      <c r="D7" s="32">
        <v>61698</v>
      </c>
      <c r="E7" s="32">
        <v>47272</v>
      </c>
      <c r="F7" s="32">
        <v>32219</v>
      </c>
      <c r="G7" s="32">
        <v>26442</v>
      </c>
      <c r="H7" s="32">
        <v>19776</v>
      </c>
      <c r="I7" s="32">
        <v>336</v>
      </c>
      <c r="J7" s="32">
        <v>8276</v>
      </c>
      <c r="K7" s="32">
        <v>3188</v>
      </c>
      <c r="L7" s="32">
        <v>-6252</v>
      </c>
      <c r="M7" s="32">
        <v>-10820</v>
      </c>
      <c r="N7" s="32">
        <v>2971</v>
      </c>
      <c r="O7" s="32">
        <v>10336</v>
      </c>
      <c r="P7" s="32">
        <v>33596</v>
      </c>
      <c r="Q7" s="32">
        <v>46019</v>
      </c>
      <c r="R7" s="32">
        <v>49149</v>
      </c>
      <c r="S7" s="32">
        <v>29278</v>
      </c>
      <c r="T7" s="32">
        <v>20932</v>
      </c>
      <c r="U7" s="32">
        <v>29431</v>
      </c>
      <c r="V7" s="32">
        <v>29211</v>
      </c>
      <c r="W7" s="167" t="s">
        <v>223</v>
      </c>
    </row>
    <row r="8" spans="1:23" ht="6.95" customHeight="1" x14ac:dyDescent="0.3">
      <c r="A8" s="168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158"/>
    </row>
    <row r="9" spans="1:23" ht="10.7" customHeight="1" x14ac:dyDescent="0.3">
      <c r="A9" s="168" t="s">
        <v>11</v>
      </c>
      <c r="B9" s="32">
        <v>2070</v>
      </c>
      <c r="C9" s="32">
        <v>155</v>
      </c>
      <c r="D9" s="32">
        <v>-704</v>
      </c>
      <c r="E9" s="32">
        <v>-1245</v>
      </c>
      <c r="F9" s="32">
        <v>-1493</v>
      </c>
      <c r="G9" s="32">
        <v>-1615</v>
      </c>
      <c r="H9" s="32">
        <v>-1572</v>
      </c>
      <c r="I9" s="32">
        <v>-2564</v>
      </c>
      <c r="J9" s="32">
        <v>-2133</v>
      </c>
      <c r="K9" s="32">
        <v>-2667</v>
      </c>
      <c r="L9" s="32">
        <v>-3240</v>
      </c>
      <c r="M9" s="32">
        <v>-3616</v>
      </c>
      <c r="N9" s="32">
        <v>-2683</v>
      </c>
      <c r="O9" s="32">
        <v>-1501</v>
      </c>
      <c r="P9" s="32">
        <v>-499</v>
      </c>
      <c r="Q9" s="32">
        <v>-207</v>
      </c>
      <c r="R9" s="32">
        <v>3</v>
      </c>
      <c r="S9" s="32">
        <v>-292</v>
      </c>
      <c r="T9" s="32">
        <v>-698</v>
      </c>
      <c r="U9" s="32">
        <v>-97</v>
      </c>
      <c r="V9" s="32">
        <v>90</v>
      </c>
      <c r="W9" s="158" t="s">
        <v>11</v>
      </c>
    </row>
    <row r="10" spans="1:23" ht="10.7" customHeight="1" x14ac:dyDescent="0.3">
      <c r="A10" s="168" t="s">
        <v>12</v>
      </c>
      <c r="B10" s="32">
        <v>3261</v>
      </c>
      <c r="C10" s="32">
        <v>1701</v>
      </c>
      <c r="D10" s="32">
        <v>832</v>
      </c>
      <c r="E10" s="32">
        <v>152</v>
      </c>
      <c r="F10" s="32">
        <v>4</v>
      </c>
      <c r="G10" s="32">
        <v>-335</v>
      </c>
      <c r="H10" s="32">
        <v>-567</v>
      </c>
      <c r="I10" s="32">
        <v>-1380</v>
      </c>
      <c r="J10" s="32">
        <v>-1486</v>
      </c>
      <c r="K10" s="32">
        <v>-1303</v>
      </c>
      <c r="L10" s="32">
        <v>-2026</v>
      </c>
      <c r="M10" s="32">
        <v>-2504</v>
      </c>
      <c r="N10" s="32">
        <v>-1859</v>
      </c>
      <c r="O10" s="32">
        <v>-1040</v>
      </c>
      <c r="P10" s="32">
        <v>-415</v>
      </c>
      <c r="Q10" s="32">
        <v>246</v>
      </c>
      <c r="R10" s="32">
        <v>159</v>
      </c>
      <c r="S10" s="32">
        <v>-210</v>
      </c>
      <c r="T10" s="32">
        <v>-281</v>
      </c>
      <c r="U10" s="32">
        <v>773</v>
      </c>
      <c r="V10" s="32">
        <v>123</v>
      </c>
      <c r="W10" s="158" t="s">
        <v>12</v>
      </c>
    </row>
    <row r="11" spans="1:23" ht="10.7" customHeight="1" x14ac:dyDescent="0.3">
      <c r="A11" s="168" t="s">
        <v>13</v>
      </c>
      <c r="B11" s="32">
        <v>4033</v>
      </c>
      <c r="C11" s="32">
        <v>2565</v>
      </c>
      <c r="D11" s="32">
        <v>1880</v>
      </c>
      <c r="E11" s="32">
        <v>1254</v>
      </c>
      <c r="F11" s="32">
        <v>1304</v>
      </c>
      <c r="G11" s="32">
        <v>959</v>
      </c>
      <c r="H11" s="32">
        <v>813</v>
      </c>
      <c r="I11" s="32">
        <v>-450</v>
      </c>
      <c r="J11" s="32">
        <v>-344</v>
      </c>
      <c r="K11" s="32">
        <v>-233</v>
      </c>
      <c r="L11" s="32">
        <v>-642</v>
      </c>
      <c r="M11" s="32">
        <v>-845</v>
      </c>
      <c r="N11" s="32">
        <v>-607</v>
      </c>
      <c r="O11" s="32">
        <v>-282</v>
      </c>
      <c r="P11" s="32">
        <v>309</v>
      </c>
      <c r="Q11" s="32">
        <v>681</v>
      </c>
      <c r="R11" s="32">
        <v>505</v>
      </c>
      <c r="S11" s="32">
        <v>286</v>
      </c>
      <c r="T11" s="32">
        <v>342</v>
      </c>
      <c r="U11" s="32">
        <v>666</v>
      </c>
      <c r="V11" s="32">
        <v>438</v>
      </c>
      <c r="W11" s="158" t="s">
        <v>13</v>
      </c>
    </row>
    <row r="12" spans="1:23" ht="10.7" customHeight="1" x14ac:dyDescent="0.3">
      <c r="A12" s="168" t="s">
        <v>14</v>
      </c>
      <c r="B12" s="32">
        <v>5329</v>
      </c>
      <c r="C12" s="32">
        <v>5943</v>
      </c>
      <c r="D12" s="32">
        <v>5033</v>
      </c>
      <c r="E12" s="32">
        <v>3933</v>
      </c>
      <c r="F12" s="32">
        <v>3807</v>
      </c>
      <c r="G12" s="32">
        <v>3550</v>
      </c>
      <c r="H12" s="32">
        <v>3393</v>
      </c>
      <c r="I12" s="32">
        <v>1540</v>
      </c>
      <c r="J12" s="32">
        <v>2860</v>
      </c>
      <c r="K12" s="32">
        <v>1995</v>
      </c>
      <c r="L12" s="32">
        <v>2679</v>
      </c>
      <c r="M12" s="32">
        <v>2519</v>
      </c>
      <c r="N12" s="32">
        <v>3537</v>
      </c>
      <c r="O12" s="32">
        <v>3403</v>
      </c>
      <c r="P12" s="32">
        <v>4145</v>
      </c>
      <c r="Q12" s="32">
        <v>5209</v>
      </c>
      <c r="R12" s="32">
        <v>5573</v>
      </c>
      <c r="S12" s="32">
        <v>5163</v>
      </c>
      <c r="T12" s="32">
        <v>5842</v>
      </c>
      <c r="U12" s="32">
        <v>5358</v>
      </c>
      <c r="V12" s="32">
        <v>5152</v>
      </c>
      <c r="W12" s="158" t="s">
        <v>14</v>
      </c>
    </row>
    <row r="13" spans="1:23" ht="10.7" customHeight="1" x14ac:dyDescent="0.3">
      <c r="A13" s="168" t="s">
        <v>15</v>
      </c>
      <c r="B13" s="32">
        <v>27642</v>
      </c>
      <c r="C13" s="32">
        <v>28972</v>
      </c>
      <c r="D13" s="32">
        <v>26143</v>
      </c>
      <c r="E13" s="32">
        <v>22508</v>
      </c>
      <c r="F13" s="32">
        <v>17935</v>
      </c>
      <c r="G13" s="32">
        <v>16426</v>
      </c>
      <c r="H13" s="32">
        <v>16058</v>
      </c>
      <c r="I13" s="32">
        <v>13839</v>
      </c>
      <c r="J13" s="32">
        <v>16626</v>
      </c>
      <c r="K13" s="32">
        <v>15154</v>
      </c>
      <c r="L13" s="32">
        <v>15494</v>
      </c>
      <c r="M13" s="32">
        <v>14667</v>
      </c>
      <c r="N13" s="32">
        <v>17789</v>
      </c>
      <c r="O13" s="32">
        <v>18050</v>
      </c>
      <c r="P13" s="32">
        <v>22106</v>
      </c>
      <c r="Q13" s="32">
        <v>26530</v>
      </c>
      <c r="R13" s="32">
        <v>30004</v>
      </c>
      <c r="S13" s="32">
        <v>25709</v>
      </c>
      <c r="T13" s="32">
        <v>23434</v>
      </c>
      <c r="U13" s="32">
        <v>21227</v>
      </c>
      <c r="V13" s="32">
        <v>20518</v>
      </c>
      <c r="W13" s="158" t="s">
        <v>15</v>
      </c>
    </row>
    <row r="14" spans="1:23" ht="10.7" customHeight="1" x14ac:dyDescent="0.3">
      <c r="A14" s="168" t="s">
        <v>16</v>
      </c>
      <c r="B14" s="32">
        <v>16115</v>
      </c>
      <c r="C14" s="32">
        <v>15821</v>
      </c>
      <c r="D14" s="32">
        <v>14776</v>
      </c>
      <c r="E14" s="32">
        <v>14128</v>
      </c>
      <c r="F14" s="32">
        <v>11091</v>
      </c>
      <c r="G14" s="32">
        <v>8917</v>
      </c>
      <c r="H14" s="32">
        <v>9653</v>
      </c>
      <c r="I14" s="32">
        <v>7290</v>
      </c>
      <c r="J14" s="32">
        <v>9314</v>
      </c>
      <c r="K14" s="32">
        <v>8052</v>
      </c>
      <c r="L14" s="32">
        <v>7136</v>
      </c>
      <c r="M14" s="32">
        <v>6089</v>
      </c>
      <c r="N14" s="32">
        <v>7401</v>
      </c>
      <c r="O14" s="32">
        <v>8926</v>
      </c>
      <c r="P14" s="32">
        <v>13228</v>
      </c>
      <c r="Q14" s="32">
        <v>14003</v>
      </c>
      <c r="R14" s="32">
        <v>14756</v>
      </c>
      <c r="S14" s="32">
        <v>9826</v>
      </c>
      <c r="T14" s="32">
        <v>8589</v>
      </c>
      <c r="U14" s="32">
        <v>8759</v>
      </c>
      <c r="V14" s="32">
        <v>8777</v>
      </c>
      <c r="W14" s="158" t="s">
        <v>16</v>
      </c>
    </row>
    <row r="15" spans="1:23" ht="10.7" customHeight="1" x14ac:dyDescent="0.3">
      <c r="A15" s="168" t="s">
        <v>17</v>
      </c>
      <c r="B15" s="32">
        <v>5083</v>
      </c>
      <c r="C15" s="32">
        <v>3598</v>
      </c>
      <c r="D15" s="32">
        <v>3050</v>
      </c>
      <c r="E15" s="32">
        <v>1525</v>
      </c>
      <c r="F15" s="32">
        <v>646</v>
      </c>
      <c r="G15" s="32">
        <v>336</v>
      </c>
      <c r="H15" s="32">
        <v>-105</v>
      </c>
      <c r="I15" s="32">
        <v>-1878</v>
      </c>
      <c r="J15" s="32">
        <v>-957</v>
      </c>
      <c r="K15" s="32">
        <v>-1292</v>
      </c>
      <c r="L15" s="32">
        <v>-3542</v>
      </c>
      <c r="M15" s="32">
        <v>-4052</v>
      </c>
      <c r="N15" s="32">
        <v>-2038</v>
      </c>
      <c r="O15" s="32">
        <v>-443</v>
      </c>
      <c r="P15" s="32">
        <v>2315</v>
      </c>
      <c r="Q15" s="32">
        <v>2937</v>
      </c>
      <c r="R15" s="32">
        <v>3604</v>
      </c>
      <c r="S15" s="32">
        <v>801</v>
      </c>
      <c r="T15" s="32">
        <v>225</v>
      </c>
      <c r="U15" s="32">
        <v>1007</v>
      </c>
      <c r="V15" s="32">
        <v>1236</v>
      </c>
      <c r="W15" s="158" t="s">
        <v>17</v>
      </c>
    </row>
    <row r="16" spans="1:23" ht="6.95" customHeight="1" x14ac:dyDescent="0.3">
      <c r="A16" s="168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158"/>
    </row>
    <row r="17" spans="1:24" ht="10.7" customHeight="1" x14ac:dyDescent="0.3">
      <c r="A17" s="168" t="s">
        <v>18</v>
      </c>
      <c r="B17" s="32">
        <v>3865</v>
      </c>
      <c r="C17" s="32">
        <v>2189</v>
      </c>
      <c r="D17" s="32">
        <v>1327</v>
      </c>
      <c r="E17" s="32">
        <v>77</v>
      </c>
      <c r="F17" s="32">
        <v>-293</v>
      </c>
      <c r="G17" s="32">
        <v>-651</v>
      </c>
      <c r="H17" s="32">
        <v>-1669</v>
      </c>
      <c r="I17" s="32">
        <v>-2978</v>
      </c>
      <c r="J17" s="32">
        <v>-2722</v>
      </c>
      <c r="K17" s="32">
        <v>-2838</v>
      </c>
      <c r="L17" s="32">
        <v>-4568</v>
      </c>
      <c r="M17" s="32">
        <v>-5029</v>
      </c>
      <c r="N17" s="32">
        <v>-3754</v>
      </c>
      <c r="O17" s="32">
        <v>-2639</v>
      </c>
      <c r="P17" s="32">
        <v>-748</v>
      </c>
      <c r="Q17" s="32">
        <v>188</v>
      </c>
      <c r="R17" s="32">
        <v>535</v>
      </c>
      <c r="S17" s="32">
        <v>-1144</v>
      </c>
      <c r="T17" s="32">
        <v>-1633</v>
      </c>
      <c r="U17" s="32">
        <v>-338</v>
      </c>
      <c r="V17" s="32">
        <v>-362</v>
      </c>
      <c r="W17" s="158" t="s">
        <v>18</v>
      </c>
    </row>
    <row r="18" spans="1:24" ht="10.7" customHeight="1" x14ac:dyDescent="0.3">
      <c r="A18" s="168" t="s">
        <v>19</v>
      </c>
      <c r="B18" s="32">
        <v>2830</v>
      </c>
      <c r="C18" s="32">
        <v>1830</v>
      </c>
      <c r="D18" s="32">
        <v>1361</v>
      </c>
      <c r="E18" s="32">
        <v>405</v>
      </c>
      <c r="F18" s="32">
        <v>-280</v>
      </c>
      <c r="G18" s="32">
        <v>64</v>
      </c>
      <c r="H18" s="32">
        <v>-808</v>
      </c>
      <c r="I18" s="32">
        <v>-2254</v>
      </c>
      <c r="J18" s="32">
        <v>-2121</v>
      </c>
      <c r="K18" s="32">
        <v>-2227</v>
      </c>
      <c r="L18" s="32">
        <v>-3372</v>
      </c>
      <c r="M18" s="32">
        <v>-3685</v>
      </c>
      <c r="N18" s="32">
        <v>-2464</v>
      </c>
      <c r="O18" s="32">
        <v>-1967</v>
      </c>
      <c r="P18" s="32">
        <v>-669</v>
      </c>
      <c r="Q18" s="32">
        <v>6</v>
      </c>
      <c r="R18" s="32">
        <v>-233</v>
      </c>
      <c r="S18" s="32">
        <v>-1377</v>
      </c>
      <c r="T18" s="32">
        <v>-1471</v>
      </c>
      <c r="U18" s="32">
        <v>-347</v>
      </c>
      <c r="V18" s="32">
        <v>-389</v>
      </c>
      <c r="W18" s="158" t="s">
        <v>19</v>
      </c>
    </row>
    <row r="19" spans="1:24" ht="10.7" customHeight="1" x14ac:dyDescent="0.3">
      <c r="A19" s="168" t="s">
        <v>20</v>
      </c>
      <c r="B19" s="32">
        <v>1549</v>
      </c>
      <c r="C19" s="32">
        <v>1235</v>
      </c>
      <c r="D19" s="32">
        <v>761</v>
      </c>
      <c r="E19" s="32">
        <v>177</v>
      </c>
      <c r="F19" s="32">
        <v>-673</v>
      </c>
      <c r="G19" s="32">
        <v>-235</v>
      </c>
      <c r="H19" s="32">
        <v>-1047</v>
      </c>
      <c r="I19" s="32">
        <v>-2157</v>
      </c>
      <c r="J19" s="32">
        <v>-1578</v>
      </c>
      <c r="K19" s="32">
        <v>-2128</v>
      </c>
      <c r="L19" s="32">
        <v>-2689</v>
      </c>
      <c r="M19" s="32">
        <v>-3008</v>
      </c>
      <c r="N19" s="32">
        <v>-2380</v>
      </c>
      <c r="O19" s="32">
        <v>-2125</v>
      </c>
      <c r="P19" s="32">
        <v>-797</v>
      </c>
      <c r="Q19" s="32">
        <v>-421</v>
      </c>
      <c r="R19" s="32">
        <v>-510</v>
      </c>
      <c r="S19" s="32">
        <v>-1298</v>
      </c>
      <c r="T19" s="32">
        <v>-1642</v>
      </c>
      <c r="U19" s="32">
        <v>-639</v>
      </c>
      <c r="V19" s="32">
        <v>-730</v>
      </c>
      <c r="W19" s="158" t="s">
        <v>20</v>
      </c>
    </row>
    <row r="20" spans="1:24" ht="10.7" customHeight="1" x14ac:dyDescent="0.3">
      <c r="A20" s="168" t="s">
        <v>21</v>
      </c>
      <c r="B20" s="32">
        <v>1144</v>
      </c>
      <c r="C20" s="32">
        <v>528</v>
      </c>
      <c r="D20" s="32">
        <v>538</v>
      </c>
      <c r="E20" s="32">
        <v>29</v>
      </c>
      <c r="F20" s="32">
        <v>-382</v>
      </c>
      <c r="G20" s="32">
        <v>-537</v>
      </c>
      <c r="H20" s="32">
        <v>-989</v>
      </c>
      <c r="I20" s="32">
        <v>-2609</v>
      </c>
      <c r="J20" s="32">
        <v>-2753</v>
      </c>
      <c r="K20" s="32">
        <v>-2554</v>
      </c>
      <c r="L20" s="32">
        <v>-3152</v>
      </c>
      <c r="M20" s="32">
        <v>-3470</v>
      </c>
      <c r="N20" s="32">
        <v>-2752</v>
      </c>
      <c r="O20" s="32">
        <v>-2508</v>
      </c>
      <c r="P20" s="32">
        <v>-1626</v>
      </c>
      <c r="Q20" s="32">
        <v>-930</v>
      </c>
      <c r="R20" s="32">
        <v>-1116</v>
      </c>
      <c r="S20" s="32">
        <v>-2036</v>
      </c>
      <c r="T20" s="32">
        <v>-2460</v>
      </c>
      <c r="U20" s="32">
        <v>-1591</v>
      </c>
      <c r="V20" s="32">
        <v>-1506</v>
      </c>
      <c r="W20" s="158" t="s">
        <v>21</v>
      </c>
    </row>
    <row r="21" spans="1:24" ht="10.7" customHeight="1" x14ac:dyDescent="0.3">
      <c r="A21" s="168" t="s">
        <v>22</v>
      </c>
      <c r="B21" s="32">
        <v>1066</v>
      </c>
      <c r="C21" s="32">
        <v>556</v>
      </c>
      <c r="D21" s="32">
        <v>894</v>
      </c>
      <c r="E21" s="32">
        <v>895</v>
      </c>
      <c r="F21" s="32">
        <v>-149</v>
      </c>
      <c r="G21" s="32">
        <v>-111</v>
      </c>
      <c r="H21" s="32">
        <v>-1302</v>
      </c>
      <c r="I21" s="32">
        <v>-2304</v>
      </c>
      <c r="J21" s="32">
        <v>-2310</v>
      </c>
      <c r="K21" s="32">
        <v>-2382</v>
      </c>
      <c r="L21" s="32">
        <v>-3030</v>
      </c>
      <c r="M21" s="32">
        <v>-3629</v>
      </c>
      <c r="N21" s="32">
        <v>-3616</v>
      </c>
      <c r="O21" s="32">
        <v>-3044</v>
      </c>
      <c r="P21" s="32">
        <v>-2013</v>
      </c>
      <c r="Q21" s="32">
        <v>-1496</v>
      </c>
      <c r="R21" s="32">
        <v>-1837</v>
      </c>
      <c r="S21" s="32">
        <v>-2556</v>
      </c>
      <c r="T21" s="32">
        <v>-3223</v>
      </c>
      <c r="U21" s="32">
        <v>-2257</v>
      </c>
      <c r="V21" s="32">
        <v>-2086</v>
      </c>
      <c r="W21" s="158" t="s">
        <v>22</v>
      </c>
    </row>
    <row r="22" spans="1:24" ht="10.7" customHeight="1" x14ac:dyDescent="0.3">
      <c r="A22" s="168" t="s">
        <v>279</v>
      </c>
      <c r="B22" s="32">
        <v>5220</v>
      </c>
      <c r="C22" s="32">
        <v>5045</v>
      </c>
      <c r="D22" s="32">
        <v>5807</v>
      </c>
      <c r="E22" s="32">
        <v>3434</v>
      </c>
      <c r="F22" s="32">
        <v>702</v>
      </c>
      <c r="G22" s="32">
        <v>-326</v>
      </c>
      <c r="H22" s="32">
        <v>-2082</v>
      </c>
      <c r="I22" s="32">
        <v>-3759</v>
      </c>
      <c r="J22" s="32">
        <v>-4120</v>
      </c>
      <c r="K22" s="32">
        <v>-4389</v>
      </c>
      <c r="L22" s="32">
        <v>-5300</v>
      </c>
      <c r="M22" s="32">
        <v>-4257</v>
      </c>
      <c r="N22" s="32">
        <v>-3603</v>
      </c>
      <c r="O22" s="32">
        <v>-4494</v>
      </c>
      <c r="P22" s="32">
        <v>-1740</v>
      </c>
      <c r="Q22" s="32">
        <v>-727</v>
      </c>
      <c r="R22" s="32">
        <v>-2294</v>
      </c>
      <c r="S22" s="32">
        <v>-3594</v>
      </c>
      <c r="T22" s="32">
        <v>-6092</v>
      </c>
      <c r="U22" s="32">
        <v>-3090</v>
      </c>
      <c r="V22" s="32">
        <v>-2050</v>
      </c>
      <c r="W22" s="158" t="s">
        <v>278</v>
      </c>
    </row>
    <row r="23" spans="1:24" ht="6.95" customHeight="1" x14ac:dyDescent="0.3">
      <c r="A23" s="16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158"/>
    </row>
    <row r="24" spans="1:24" ht="10.7" customHeight="1" x14ac:dyDescent="0.3">
      <c r="A24" s="168" t="s">
        <v>299</v>
      </c>
      <c r="B24" s="32">
        <v>50875</v>
      </c>
      <c r="C24" s="32">
        <v>50887</v>
      </c>
      <c r="D24" s="32">
        <v>46036</v>
      </c>
      <c r="E24" s="32">
        <v>39764</v>
      </c>
      <c r="F24" s="32">
        <v>31266</v>
      </c>
      <c r="G24" s="32">
        <v>26830</v>
      </c>
      <c r="H24" s="32">
        <v>26883</v>
      </c>
      <c r="I24" s="32">
        <v>19633</v>
      </c>
      <c r="J24" s="32">
        <v>26165</v>
      </c>
      <c r="K24" s="32">
        <v>22747</v>
      </c>
      <c r="L24" s="32">
        <v>20099</v>
      </c>
      <c r="M24" s="32">
        <v>17798</v>
      </c>
      <c r="N24" s="32">
        <v>24752</v>
      </c>
      <c r="O24" s="32">
        <v>27796</v>
      </c>
      <c r="P24" s="32">
        <v>39454</v>
      </c>
      <c r="Q24" s="32">
        <v>45880</v>
      </c>
      <c r="R24" s="32">
        <v>51254</v>
      </c>
      <c r="S24" s="32">
        <v>39030</v>
      </c>
      <c r="T24" s="32">
        <v>35126</v>
      </c>
      <c r="U24" s="32">
        <v>33600</v>
      </c>
      <c r="V24" s="32">
        <v>33265</v>
      </c>
      <c r="W24" s="158" t="s">
        <v>299</v>
      </c>
    </row>
    <row r="25" spans="1:24" ht="10.7" customHeight="1" x14ac:dyDescent="0.3">
      <c r="A25" s="168" t="s">
        <v>300</v>
      </c>
      <c r="B25" s="32">
        <v>7536</v>
      </c>
      <c r="C25" s="32">
        <v>4876</v>
      </c>
      <c r="D25" s="32">
        <v>4760</v>
      </c>
      <c r="E25" s="32">
        <v>2323</v>
      </c>
      <c r="F25" s="32">
        <v>-1799</v>
      </c>
      <c r="G25" s="32">
        <v>-1253</v>
      </c>
      <c r="H25" s="32">
        <v>-5334</v>
      </c>
      <c r="I25" s="32">
        <v>-10962</v>
      </c>
      <c r="J25" s="32">
        <v>-10399</v>
      </c>
      <c r="K25" s="32">
        <v>-11231</v>
      </c>
      <c r="L25" s="32">
        <v>-14343</v>
      </c>
      <c r="M25" s="32">
        <v>-16105</v>
      </c>
      <c r="N25" s="32">
        <v>-13460</v>
      </c>
      <c r="O25" s="32">
        <v>-12011</v>
      </c>
      <c r="P25" s="32">
        <v>-6462</v>
      </c>
      <c r="Q25" s="32">
        <v>-3630</v>
      </c>
      <c r="R25" s="32">
        <v>-5043</v>
      </c>
      <c r="S25" s="32">
        <v>-9397</v>
      </c>
      <c r="T25" s="32">
        <v>-11812</v>
      </c>
      <c r="U25" s="32">
        <v>-6938</v>
      </c>
      <c r="V25" s="32">
        <v>-6345</v>
      </c>
      <c r="W25" s="158" t="s">
        <v>300</v>
      </c>
    </row>
    <row r="26" spans="1:24" ht="6.95" customHeight="1" x14ac:dyDescent="0.3">
      <c r="A26" s="168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158"/>
    </row>
    <row r="27" spans="1:24" ht="10.7" customHeight="1" x14ac:dyDescent="0.3">
      <c r="A27" s="169" t="s">
        <v>224</v>
      </c>
      <c r="B27" s="32">
        <v>-15028</v>
      </c>
      <c r="C27" s="32">
        <v>-17394</v>
      </c>
      <c r="D27" s="32">
        <v>-10842</v>
      </c>
      <c r="E27" s="32">
        <v>-21439</v>
      </c>
      <c r="F27" s="32">
        <v>-23386</v>
      </c>
      <c r="G27" s="32">
        <v>-20743</v>
      </c>
      <c r="H27" s="32">
        <v>-52019</v>
      </c>
      <c r="I27" s="32">
        <v>-52623</v>
      </c>
      <c r="J27" s="32">
        <v>-47482</v>
      </c>
      <c r="K27" s="32">
        <v>-44970</v>
      </c>
      <c r="L27" s="32">
        <v>-38491</v>
      </c>
      <c r="M27" s="32">
        <v>-63102</v>
      </c>
      <c r="N27" s="32">
        <v>-65316</v>
      </c>
      <c r="O27" s="32">
        <v>-43068</v>
      </c>
      <c r="P27" s="32">
        <v>-47673</v>
      </c>
      <c r="Q27" s="32">
        <v>-16026</v>
      </c>
      <c r="R27" s="32">
        <v>-23471</v>
      </c>
      <c r="S27" s="32">
        <v>-47521</v>
      </c>
      <c r="T27" s="32">
        <v>-13133</v>
      </c>
      <c r="U27" s="32">
        <v>-10330</v>
      </c>
      <c r="V27" s="32">
        <v>-18225</v>
      </c>
      <c r="W27" s="167" t="s">
        <v>224</v>
      </c>
      <c r="X27" s="62"/>
    </row>
    <row r="28" spans="1:24" ht="6.95" customHeight="1" x14ac:dyDescent="0.3">
      <c r="A28" s="16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158"/>
      <c r="X28" s="62"/>
    </row>
    <row r="29" spans="1:24" ht="10.7" customHeight="1" x14ac:dyDescent="0.3">
      <c r="A29" s="168" t="s">
        <v>11</v>
      </c>
      <c r="B29" s="32">
        <v>-4373</v>
      </c>
      <c r="C29" s="32">
        <v>-5719</v>
      </c>
      <c r="D29" s="32">
        <v>-5871</v>
      </c>
      <c r="E29" s="32">
        <v>-6223</v>
      </c>
      <c r="F29" s="32">
        <v>-6051</v>
      </c>
      <c r="G29" s="32">
        <v>-5731</v>
      </c>
      <c r="H29" s="32">
        <v>-7881</v>
      </c>
      <c r="I29" s="32">
        <v>-7479</v>
      </c>
      <c r="J29" s="32">
        <v>-6990</v>
      </c>
      <c r="K29" s="32">
        <v>-7016</v>
      </c>
      <c r="L29" s="32">
        <v>-6698</v>
      </c>
      <c r="M29" s="32">
        <v>-7934</v>
      </c>
      <c r="N29" s="32">
        <v>-8432</v>
      </c>
      <c r="O29" s="32">
        <v>-6698</v>
      </c>
      <c r="P29" s="32">
        <v>-7813</v>
      </c>
      <c r="Q29" s="32">
        <v>-4994</v>
      </c>
      <c r="R29" s="32">
        <v>-4371</v>
      </c>
      <c r="S29" s="32">
        <v>-4526</v>
      </c>
      <c r="T29" s="32">
        <v>-3432</v>
      </c>
      <c r="U29" s="32">
        <v>-2917</v>
      </c>
      <c r="V29" s="32">
        <v>-3358</v>
      </c>
      <c r="W29" s="158" t="s">
        <v>11</v>
      </c>
    </row>
    <row r="30" spans="1:24" ht="10.7" customHeight="1" x14ac:dyDescent="0.3">
      <c r="A30" s="168" t="s">
        <v>12</v>
      </c>
      <c r="B30" s="32">
        <v>-642</v>
      </c>
      <c r="C30" s="32">
        <v>-1324</v>
      </c>
      <c r="D30" s="32">
        <v>-1239</v>
      </c>
      <c r="E30" s="32">
        <v>-1604</v>
      </c>
      <c r="F30" s="32">
        <v>-1104</v>
      </c>
      <c r="G30" s="32">
        <v>-1360</v>
      </c>
      <c r="H30" s="32">
        <v>-2755</v>
      </c>
      <c r="I30" s="32">
        <v>-2653</v>
      </c>
      <c r="J30" s="32">
        <v>-2574</v>
      </c>
      <c r="K30" s="32">
        <v>-2656</v>
      </c>
      <c r="L30" s="32">
        <v>-2304</v>
      </c>
      <c r="M30" s="32">
        <v>-3168</v>
      </c>
      <c r="N30" s="32">
        <v>-3728</v>
      </c>
      <c r="O30" s="32">
        <v>-2951</v>
      </c>
      <c r="P30" s="32">
        <v>-3715</v>
      </c>
      <c r="Q30" s="32">
        <v>-1757</v>
      </c>
      <c r="R30" s="32">
        <v>-2111</v>
      </c>
      <c r="S30" s="32">
        <v>-2691</v>
      </c>
      <c r="T30" s="32">
        <v>-1412</v>
      </c>
      <c r="U30" s="32">
        <v>-612</v>
      </c>
      <c r="V30" s="32">
        <v>-385</v>
      </c>
      <c r="W30" s="158" t="s">
        <v>12</v>
      </c>
    </row>
    <row r="31" spans="1:24" ht="10.7" customHeight="1" x14ac:dyDescent="0.3">
      <c r="A31" s="168" t="s">
        <v>13</v>
      </c>
      <c r="B31" s="32">
        <v>2241</v>
      </c>
      <c r="C31" s="32">
        <v>1707</v>
      </c>
      <c r="D31" s="32">
        <v>1935</v>
      </c>
      <c r="E31" s="32">
        <v>1141</v>
      </c>
      <c r="F31" s="32">
        <v>1236</v>
      </c>
      <c r="G31" s="32">
        <v>1090</v>
      </c>
      <c r="H31" s="32">
        <v>-629</v>
      </c>
      <c r="I31" s="32">
        <v>-704</v>
      </c>
      <c r="J31" s="32">
        <v>-1226</v>
      </c>
      <c r="K31" s="32">
        <v>-917</v>
      </c>
      <c r="L31" s="32">
        <v>-595</v>
      </c>
      <c r="M31" s="32">
        <v>-1409</v>
      </c>
      <c r="N31" s="32">
        <v>-1594</v>
      </c>
      <c r="O31" s="32">
        <v>-1056</v>
      </c>
      <c r="P31" s="32">
        <v>-1670</v>
      </c>
      <c r="Q31" s="32">
        <v>-430</v>
      </c>
      <c r="R31" s="32">
        <v>-669</v>
      </c>
      <c r="S31" s="32">
        <v>-1467</v>
      </c>
      <c r="T31" s="32">
        <v>-425</v>
      </c>
      <c r="U31" s="32">
        <v>-156</v>
      </c>
      <c r="V31" s="32">
        <v>-28</v>
      </c>
      <c r="W31" s="158" t="s">
        <v>13</v>
      </c>
    </row>
    <row r="32" spans="1:24" ht="10.7" customHeight="1" x14ac:dyDescent="0.3">
      <c r="A32" s="168" t="s">
        <v>14</v>
      </c>
      <c r="B32" s="32">
        <v>2616</v>
      </c>
      <c r="C32" s="32">
        <v>2711</v>
      </c>
      <c r="D32" s="32">
        <v>2714</v>
      </c>
      <c r="E32" s="32">
        <v>2192</v>
      </c>
      <c r="F32" s="32">
        <v>2179</v>
      </c>
      <c r="G32" s="32">
        <v>2428</v>
      </c>
      <c r="H32" s="32">
        <v>1003</v>
      </c>
      <c r="I32" s="32">
        <v>639</v>
      </c>
      <c r="J32" s="32">
        <v>1299</v>
      </c>
      <c r="K32" s="32">
        <v>1338</v>
      </c>
      <c r="L32" s="32">
        <v>2565</v>
      </c>
      <c r="M32" s="32">
        <v>1983</v>
      </c>
      <c r="N32" s="32">
        <v>1858</v>
      </c>
      <c r="O32" s="32">
        <v>2812</v>
      </c>
      <c r="P32" s="32">
        <v>3223</v>
      </c>
      <c r="Q32" s="32">
        <v>4214</v>
      </c>
      <c r="R32" s="32">
        <v>3537</v>
      </c>
      <c r="S32" s="32">
        <v>2709</v>
      </c>
      <c r="T32" s="32">
        <v>5865</v>
      </c>
      <c r="U32" s="32">
        <v>5589</v>
      </c>
      <c r="V32" s="32">
        <v>5953</v>
      </c>
      <c r="W32" s="158" t="s">
        <v>14</v>
      </c>
    </row>
    <row r="33" spans="1:23" ht="10.7" customHeight="1" x14ac:dyDescent="0.3">
      <c r="A33" s="168" t="s">
        <v>15</v>
      </c>
      <c r="B33" s="32">
        <v>11792</v>
      </c>
      <c r="C33" s="32">
        <v>12839</v>
      </c>
      <c r="D33" s="32">
        <v>14031</v>
      </c>
      <c r="E33" s="32">
        <v>13648</v>
      </c>
      <c r="F33" s="32">
        <v>11837</v>
      </c>
      <c r="G33" s="32">
        <v>11009</v>
      </c>
      <c r="H33" s="32">
        <v>9181</v>
      </c>
      <c r="I33" s="32">
        <v>9175</v>
      </c>
      <c r="J33" s="32">
        <v>11157</v>
      </c>
      <c r="K33" s="32">
        <v>10901</v>
      </c>
      <c r="L33" s="32">
        <v>12674</v>
      </c>
      <c r="M33" s="32">
        <v>10401</v>
      </c>
      <c r="N33" s="32">
        <v>12009</v>
      </c>
      <c r="O33" s="32">
        <v>14622</v>
      </c>
      <c r="P33" s="32">
        <v>17791</v>
      </c>
      <c r="Q33" s="32">
        <v>20588</v>
      </c>
      <c r="R33" s="32">
        <v>20868</v>
      </c>
      <c r="S33" s="32">
        <v>18541</v>
      </c>
      <c r="T33" s="32">
        <v>23408</v>
      </c>
      <c r="U33" s="32">
        <v>19260</v>
      </c>
      <c r="V33" s="32">
        <v>17493</v>
      </c>
      <c r="W33" s="158" t="s">
        <v>15</v>
      </c>
    </row>
    <row r="34" spans="1:23" ht="10.7" customHeight="1" x14ac:dyDescent="0.3">
      <c r="A34" s="168" t="s">
        <v>16</v>
      </c>
      <c r="B34" s="32">
        <v>-4121</v>
      </c>
      <c r="C34" s="32">
        <v>-2637</v>
      </c>
      <c r="D34" s="32">
        <v>-633</v>
      </c>
      <c r="E34" s="32">
        <v>-407</v>
      </c>
      <c r="F34" s="32">
        <v>259</v>
      </c>
      <c r="G34" s="32">
        <v>403</v>
      </c>
      <c r="H34" s="32">
        <v>-2537</v>
      </c>
      <c r="I34" s="32">
        <v>-954</v>
      </c>
      <c r="J34" s="32">
        <v>1144</v>
      </c>
      <c r="K34" s="32">
        <v>1367</v>
      </c>
      <c r="L34" s="32">
        <v>2566</v>
      </c>
      <c r="M34" s="32">
        <v>842</v>
      </c>
      <c r="N34" s="32">
        <v>1261</v>
      </c>
      <c r="O34" s="32">
        <v>4740</v>
      </c>
      <c r="P34" s="32">
        <v>7493</v>
      </c>
      <c r="Q34" s="32">
        <v>9424</v>
      </c>
      <c r="R34" s="32">
        <v>8703</v>
      </c>
      <c r="S34" s="32">
        <v>3856</v>
      </c>
      <c r="T34" s="32">
        <v>6957</v>
      </c>
      <c r="U34" s="32">
        <v>7002</v>
      </c>
      <c r="V34" s="32">
        <v>3577</v>
      </c>
      <c r="W34" s="158" t="s">
        <v>16</v>
      </c>
    </row>
    <row r="35" spans="1:23" ht="10.7" customHeight="1" x14ac:dyDescent="0.3">
      <c r="A35" s="168" t="s">
        <v>17</v>
      </c>
      <c r="B35" s="32">
        <v>-7974</v>
      </c>
      <c r="C35" s="32">
        <v>-8974</v>
      </c>
      <c r="D35" s="32">
        <v>-8192</v>
      </c>
      <c r="E35" s="32">
        <v>-10069</v>
      </c>
      <c r="F35" s="32">
        <v>-8769</v>
      </c>
      <c r="G35" s="32">
        <v>-8067</v>
      </c>
      <c r="H35" s="32">
        <v>-13175</v>
      </c>
      <c r="I35" s="32">
        <v>-11871</v>
      </c>
      <c r="J35" s="32">
        <v>-12267</v>
      </c>
      <c r="K35" s="32">
        <v>-12180</v>
      </c>
      <c r="L35" s="32">
        <v>-11259</v>
      </c>
      <c r="M35" s="32">
        <v>-13309</v>
      </c>
      <c r="N35" s="32">
        <v>-12511</v>
      </c>
      <c r="O35" s="32">
        <v>-8796</v>
      </c>
      <c r="P35" s="32">
        <v>-9241</v>
      </c>
      <c r="Q35" s="32">
        <v>-5939</v>
      </c>
      <c r="R35" s="32">
        <v>-6015</v>
      </c>
      <c r="S35" s="32">
        <v>-10736</v>
      </c>
      <c r="T35" s="32">
        <v>-7638</v>
      </c>
      <c r="U35" s="32">
        <v>-6833</v>
      </c>
      <c r="V35" s="32">
        <v>-7960</v>
      </c>
      <c r="W35" s="158" t="s">
        <v>17</v>
      </c>
    </row>
    <row r="36" spans="1:23" ht="6.95" customHeight="1" x14ac:dyDescent="0.3">
      <c r="A36" s="168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158"/>
    </row>
    <row r="37" spans="1:23" ht="10.7" customHeight="1" x14ac:dyDescent="0.3">
      <c r="A37" s="168" t="s">
        <v>18</v>
      </c>
      <c r="B37" s="32">
        <v>-1058</v>
      </c>
      <c r="C37" s="32">
        <v>-2589</v>
      </c>
      <c r="D37" s="32">
        <v>-2166</v>
      </c>
      <c r="E37" s="32">
        <v>-3525</v>
      </c>
      <c r="F37" s="32">
        <v>-3916</v>
      </c>
      <c r="G37" s="32">
        <v>-4688</v>
      </c>
      <c r="H37" s="32">
        <v>-8244</v>
      </c>
      <c r="I37" s="32">
        <v>-8121</v>
      </c>
      <c r="J37" s="32">
        <v>-7849</v>
      </c>
      <c r="K37" s="32">
        <v>-7648</v>
      </c>
      <c r="L37" s="32">
        <v>-7392</v>
      </c>
      <c r="M37" s="32">
        <v>-10369</v>
      </c>
      <c r="N37" s="32">
        <v>-11120</v>
      </c>
      <c r="O37" s="32">
        <v>-9529</v>
      </c>
      <c r="P37" s="32">
        <v>-11851</v>
      </c>
      <c r="Q37" s="32">
        <v>-8023</v>
      </c>
      <c r="R37" s="32">
        <v>-8577</v>
      </c>
      <c r="S37" s="32">
        <v>-10364</v>
      </c>
      <c r="T37" s="32">
        <v>-6976</v>
      </c>
      <c r="U37" s="32">
        <v>-5755</v>
      </c>
      <c r="V37" s="32">
        <v>-6119</v>
      </c>
      <c r="W37" s="158" t="s">
        <v>18</v>
      </c>
    </row>
    <row r="38" spans="1:23" ht="10.7" customHeight="1" x14ac:dyDescent="0.3">
      <c r="A38" s="168" t="s">
        <v>19</v>
      </c>
      <c r="B38" s="32">
        <v>-706</v>
      </c>
      <c r="C38" s="32">
        <v>-592</v>
      </c>
      <c r="D38" s="32">
        <v>86</v>
      </c>
      <c r="E38" s="32">
        <v>-944</v>
      </c>
      <c r="F38" s="32">
        <v>-864</v>
      </c>
      <c r="G38" s="32">
        <v>-862</v>
      </c>
      <c r="H38" s="32">
        <v>-3244</v>
      </c>
      <c r="I38" s="32">
        <v>-3931</v>
      </c>
      <c r="J38" s="32">
        <v>-4235</v>
      </c>
      <c r="K38" s="32">
        <v>-3812</v>
      </c>
      <c r="L38" s="32">
        <v>-4082</v>
      </c>
      <c r="M38" s="32">
        <v>-5657</v>
      </c>
      <c r="N38" s="32">
        <v>-6242</v>
      </c>
      <c r="O38" s="32">
        <v>-4582</v>
      </c>
      <c r="P38" s="32">
        <v>-6344</v>
      </c>
      <c r="Q38" s="32">
        <v>-3925</v>
      </c>
      <c r="R38" s="32">
        <v>-4978</v>
      </c>
      <c r="S38" s="32">
        <v>-6513</v>
      </c>
      <c r="T38" s="32">
        <v>-4230</v>
      </c>
      <c r="U38" s="32">
        <v>-3328</v>
      </c>
      <c r="V38" s="32">
        <v>-2946</v>
      </c>
      <c r="W38" s="158" t="s">
        <v>19</v>
      </c>
    </row>
    <row r="39" spans="1:23" ht="10.7" customHeight="1" x14ac:dyDescent="0.3">
      <c r="A39" s="168" t="s">
        <v>20</v>
      </c>
      <c r="B39" s="32">
        <v>-2598</v>
      </c>
      <c r="C39" s="32">
        <v>-2363</v>
      </c>
      <c r="D39" s="32">
        <v>-2004</v>
      </c>
      <c r="E39" s="32">
        <v>-2691</v>
      </c>
      <c r="F39" s="32">
        <v>-2898</v>
      </c>
      <c r="G39" s="32">
        <v>-2436</v>
      </c>
      <c r="H39" s="32">
        <v>-4030</v>
      </c>
      <c r="I39" s="32">
        <v>-3607</v>
      </c>
      <c r="J39" s="32">
        <v>-3749</v>
      </c>
      <c r="K39" s="32">
        <v>-3478</v>
      </c>
      <c r="L39" s="32">
        <v>-3306</v>
      </c>
      <c r="M39" s="32">
        <v>-4730</v>
      </c>
      <c r="N39" s="32">
        <v>-5625</v>
      </c>
      <c r="O39" s="32">
        <v>-4445</v>
      </c>
      <c r="P39" s="32">
        <v>-5469</v>
      </c>
      <c r="Q39" s="32">
        <v>-3982</v>
      </c>
      <c r="R39" s="32">
        <v>-4755</v>
      </c>
      <c r="S39" s="32">
        <v>-5555</v>
      </c>
      <c r="T39" s="32">
        <v>-3278</v>
      </c>
      <c r="U39" s="32">
        <v>-2613</v>
      </c>
      <c r="V39" s="32">
        <v>-2337</v>
      </c>
      <c r="W39" s="158" t="s">
        <v>20</v>
      </c>
    </row>
    <row r="40" spans="1:23" ht="10.7" customHeight="1" x14ac:dyDescent="0.3">
      <c r="A40" s="168" t="s">
        <v>21</v>
      </c>
      <c r="B40" s="32">
        <v>-2784</v>
      </c>
      <c r="C40" s="32">
        <v>-2834</v>
      </c>
      <c r="D40" s="32">
        <v>-2674</v>
      </c>
      <c r="E40" s="32">
        <v>-3617</v>
      </c>
      <c r="F40" s="32">
        <v>-3779</v>
      </c>
      <c r="G40" s="32">
        <v>-3344</v>
      </c>
      <c r="H40" s="32">
        <v>-4866</v>
      </c>
      <c r="I40" s="32">
        <v>-5640</v>
      </c>
      <c r="J40" s="32">
        <v>-5639</v>
      </c>
      <c r="K40" s="32">
        <v>-4603</v>
      </c>
      <c r="L40" s="32">
        <v>-4105</v>
      </c>
      <c r="M40" s="32">
        <v>-5829</v>
      </c>
      <c r="N40" s="32">
        <v>-5955</v>
      </c>
      <c r="O40" s="32">
        <v>-5040</v>
      </c>
      <c r="P40" s="32">
        <v>-5653</v>
      </c>
      <c r="Q40" s="32">
        <v>-4138</v>
      </c>
      <c r="R40" s="32">
        <v>-5059</v>
      </c>
      <c r="S40" s="32">
        <v>-6498</v>
      </c>
      <c r="T40" s="32">
        <v>-4390</v>
      </c>
      <c r="U40" s="32">
        <v>-3725</v>
      </c>
      <c r="V40" s="32">
        <v>-3955</v>
      </c>
      <c r="W40" s="158" t="s">
        <v>21</v>
      </c>
    </row>
    <row r="41" spans="1:23" ht="10.7" customHeight="1" x14ac:dyDescent="0.3">
      <c r="A41" s="168" t="s">
        <v>22</v>
      </c>
      <c r="B41" s="32">
        <v>-2588</v>
      </c>
      <c r="C41" s="32">
        <v>-2883</v>
      </c>
      <c r="D41" s="32">
        <v>-2530</v>
      </c>
      <c r="E41" s="32">
        <v>-3127</v>
      </c>
      <c r="F41" s="32">
        <v>-3656</v>
      </c>
      <c r="G41" s="32">
        <v>-2965</v>
      </c>
      <c r="H41" s="32">
        <v>-4571</v>
      </c>
      <c r="I41" s="32">
        <v>-5342</v>
      </c>
      <c r="J41" s="32">
        <v>-5388</v>
      </c>
      <c r="K41" s="32">
        <v>-5122</v>
      </c>
      <c r="L41" s="32">
        <v>-5313</v>
      </c>
      <c r="M41" s="32">
        <v>-7395</v>
      </c>
      <c r="N41" s="32">
        <v>-8034</v>
      </c>
      <c r="O41" s="32">
        <v>-6418</v>
      </c>
      <c r="P41" s="32">
        <v>-6928</v>
      </c>
      <c r="Q41" s="32">
        <v>-5032</v>
      </c>
      <c r="R41" s="32">
        <v>-5256</v>
      </c>
      <c r="S41" s="32">
        <v>-6064</v>
      </c>
      <c r="T41" s="32">
        <v>-4322</v>
      </c>
      <c r="U41" s="32">
        <v>-4056</v>
      </c>
      <c r="V41" s="32">
        <v>-4590</v>
      </c>
      <c r="W41" s="158" t="s">
        <v>22</v>
      </c>
    </row>
    <row r="42" spans="1:23" ht="10.7" customHeight="1" x14ac:dyDescent="0.3">
      <c r="A42" s="168" t="s">
        <v>279</v>
      </c>
      <c r="B42" s="32">
        <v>-4833</v>
      </c>
      <c r="C42" s="32">
        <v>-4736</v>
      </c>
      <c r="D42" s="32">
        <v>-4299</v>
      </c>
      <c r="E42" s="32">
        <v>-6213</v>
      </c>
      <c r="F42" s="32">
        <v>-7860</v>
      </c>
      <c r="G42" s="32">
        <v>-6220</v>
      </c>
      <c r="H42" s="32">
        <v>-10271</v>
      </c>
      <c r="I42" s="32">
        <v>-12135</v>
      </c>
      <c r="J42" s="32">
        <v>-11165</v>
      </c>
      <c r="K42" s="32">
        <v>-11144</v>
      </c>
      <c r="L42" s="32">
        <v>-11242</v>
      </c>
      <c r="M42" s="32">
        <v>-16528</v>
      </c>
      <c r="N42" s="32">
        <v>-17203</v>
      </c>
      <c r="O42" s="32">
        <v>-15727</v>
      </c>
      <c r="P42" s="32">
        <v>-17496</v>
      </c>
      <c r="Q42" s="32">
        <v>-12032</v>
      </c>
      <c r="R42" s="32">
        <v>-14788</v>
      </c>
      <c r="S42" s="32">
        <v>-18213</v>
      </c>
      <c r="T42" s="32">
        <v>-13260</v>
      </c>
      <c r="U42" s="32">
        <v>-12186</v>
      </c>
      <c r="V42" s="32">
        <v>-13570</v>
      </c>
      <c r="W42" s="158" t="s">
        <v>278</v>
      </c>
    </row>
    <row r="43" spans="1:23" ht="6.95" customHeight="1" x14ac:dyDescent="0.3">
      <c r="A43" s="168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158"/>
    </row>
    <row r="44" spans="1:23" ht="10.7" customHeight="1" x14ac:dyDescent="0.3">
      <c r="A44" s="168" t="s">
        <v>299</v>
      </c>
      <c r="B44" s="32">
        <v>888</v>
      </c>
      <c r="C44" s="32">
        <v>2483</v>
      </c>
      <c r="D44" s="32">
        <v>6424</v>
      </c>
      <c r="E44" s="32">
        <v>4155</v>
      </c>
      <c r="F44" s="32">
        <v>4374</v>
      </c>
      <c r="G44" s="32">
        <v>4339</v>
      </c>
      <c r="H44" s="32">
        <v>-5783</v>
      </c>
      <c r="I44" s="32">
        <v>-2959</v>
      </c>
      <c r="J44" s="32">
        <v>1324</v>
      </c>
      <c r="K44" s="32">
        <v>1265</v>
      </c>
      <c r="L44" s="32">
        <v>5500</v>
      </c>
      <c r="M44" s="32">
        <v>-505</v>
      </c>
      <c r="N44" s="32">
        <v>2492</v>
      </c>
      <c r="O44" s="32">
        <v>12578</v>
      </c>
      <c r="P44" s="32">
        <v>18467</v>
      </c>
      <c r="Q44" s="32">
        <v>26970</v>
      </c>
      <c r="R44" s="32">
        <v>26295</v>
      </c>
      <c r="S44" s="32">
        <v>14081</v>
      </c>
      <c r="T44" s="32">
        <v>26692</v>
      </c>
      <c r="U44" s="32">
        <v>23315</v>
      </c>
      <c r="V44" s="32">
        <v>17085</v>
      </c>
      <c r="W44" s="158" t="s">
        <v>299</v>
      </c>
    </row>
    <row r="45" spans="1:23" ht="10.7" customHeight="1" x14ac:dyDescent="0.3">
      <c r="A45" s="168" t="s">
        <v>300</v>
      </c>
      <c r="B45" s="32">
        <v>-10976</v>
      </c>
      <c r="C45" s="32">
        <v>-11027</v>
      </c>
      <c r="D45" s="32">
        <v>-9305</v>
      </c>
      <c r="E45" s="32">
        <v>-12673</v>
      </c>
      <c r="F45" s="32">
        <v>-14613</v>
      </c>
      <c r="G45" s="32">
        <v>-12126</v>
      </c>
      <c r="H45" s="32">
        <v>-20550</v>
      </c>
      <c r="I45" s="32">
        <v>-22701</v>
      </c>
      <c r="J45" s="32">
        <v>-22851</v>
      </c>
      <c r="K45" s="32">
        <v>-20883</v>
      </c>
      <c r="L45" s="32">
        <v>-20466</v>
      </c>
      <c r="M45" s="32">
        <v>-29605</v>
      </c>
      <c r="N45" s="32">
        <v>-32148</v>
      </c>
      <c r="O45" s="32">
        <v>-26000</v>
      </c>
      <c r="P45" s="32">
        <v>-30372</v>
      </c>
      <c r="Q45" s="32">
        <v>-20952</v>
      </c>
      <c r="R45" s="32">
        <v>-24971</v>
      </c>
      <c r="S45" s="32">
        <v>-30775</v>
      </c>
      <c r="T45" s="32">
        <v>-20465</v>
      </c>
      <c r="U45" s="32">
        <v>-17671</v>
      </c>
      <c r="V45" s="32">
        <v>-17782</v>
      </c>
      <c r="W45" s="158" t="s">
        <v>300</v>
      </c>
    </row>
    <row r="46" spans="1:23" ht="6.95" customHeight="1" x14ac:dyDescent="0.3">
      <c r="A46" s="168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158"/>
    </row>
    <row r="47" spans="1:23" ht="10.7" customHeight="1" x14ac:dyDescent="0.3">
      <c r="A47" s="169" t="s">
        <v>225</v>
      </c>
      <c r="B47" s="32">
        <v>-333</v>
      </c>
      <c r="C47" s="32">
        <v>5622</v>
      </c>
      <c r="D47" s="32">
        <v>4027</v>
      </c>
      <c r="E47" s="32">
        <v>11453</v>
      </c>
      <c r="F47" s="32">
        <v>5094</v>
      </c>
      <c r="G47" s="32">
        <v>1113</v>
      </c>
      <c r="H47" s="32">
        <v>1979</v>
      </c>
      <c r="I47" s="32">
        <v>14755</v>
      </c>
      <c r="J47" s="32">
        <v>14073</v>
      </c>
      <c r="K47" s="32">
        <v>10947</v>
      </c>
      <c r="L47" s="32">
        <v>5310</v>
      </c>
      <c r="M47" s="32">
        <v>5058</v>
      </c>
      <c r="N47" s="32">
        <v>2808</v>
      </c>
      <c r="O47" s="32">
        <v>-782</v>
      </c>
      <c r="P47" s="32">
        <v>-88</v>
      </c>
      <c r="Q47" s="32">
        <v>-1055</v>
      </c>
      <c r="R47" s="32">
        <v>-7588</v>
      </c>
      <c r="S47" s="32">
        <v>5584</v>
      </c>
      <c r="T47" s="32">
        <v>13955</v>
      </c>
      <c r="U47" s="32">
        <v>17018</v>
      </c>
      <c r="V47" s="32">
        <v>13442</v>
      </c>
      <c r="W47" s="167" t="s">
        <v>225</v>
      </c>
    </row>
    <row r="48" spans="1:23" ht="6.95" customHeight="1" x14ac:dyDescent="0.3">
      <c r="A48" s="168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58"/>
    </row>
    <row r="49" spans="1:23" ht="10.7" customHeight="1" x14ac:dyDescent="0.3">
      <c r="A49" s="168" t="s">
        <v>11</v>
      </c>
      <c r="B49" s="32">
        <v>136</v>
      </c>
      <c r="C49" s="32">
        <v>811</v>
      </c>
      <c r="D49" s="32">
        <v>411</v>
      </c>
      <c r="E49" s="32">
        <v>1243</v>
      </c>
      <c r="F49" s="32">
        <v>786</v>
      </c>
      <c r="G49" s="32">
        <v>414</v>
      </c>
      <c r="H49" s="32">
        <v>331</v>
      </c>
      <c r="I49" s="32">
        <v>2010</v>
      </c>
      <c r="J49" s="32">
        <v>1345</v>
      </c>
      <c r="K49" s="32">
        <v>766</v>
      </c>
      <c r="L49" s="32">
        <v>345</v>
      </c>
      <c r="M49" s="32">
        <v>330</v>
      </c>
      <c r="N49" s="32">
        <v>-2</v>
      </c>
      <c r="O49" s="32">
        <v>-174</v>
      </c>
      <c r="P49" s="32">
        <v>-534</v>
      </c>
      <c r="Q49" s="32">
        <v>-555</v>
      </c>
      <c r="R49" s="32">
        <v>-898</v>
      </c>
      <c r="S49" s="32">
        <v>356</v>
      </c>
      <c r="T49" s="32">
        <v>1294</v>
      </c>
      <c r="U49" s="32">
        <v>1491</v>
      </c>
      <c r="V49" s="32">
        <v>1187</v>
      </c>
      <c r="W49" s="158" t="s">
        <v>11</v>
      </c>
    </row>
    <row r="50" spans="1:23" ht="10.7" customHeight="1" x14ac:dyDescent="0.3">
      <c r="A50" s="168" t="s">
        <v>12</v>
      </c>
      <c r="B50" s="32">
        <v>-281</v>
      </c>
      <c r="C50" s="32">
        <v>409</v>
      </c>
      <c r="D50" s="32">
        <v>2</v>
      </c>
      <c r="E50" s="32">
        <v>658</v>
      </c>
      <c r="F50" s="32">
        <v>3</v>
      </c>
      <c r="G50" s="32">
        <v>-100</v>
      </c>
      <c r="H50" s="32">
        <v>-58</v>
      </c>
      <c r="I50" s="32">
        <v>758</v>
      </c>
      <c r="J50" s="32">
        <v>636</v>
      </c>
      <c r="K50" s="32">
        <v>494</v>
      </c>
      <c r="L50" s="32">
        <v>118</v>
      </c>
      <c r="M50" s="32">
        <v>186</v>
      </c>
      <c r="N50" s="32">
        <v>-272</v>
      </c>
      <c r="O50" s="32">
        <v>-462</v>
      </c>
      <c r="P50" s="32">
        <v>-487</v>
      </c>
      <c r="Q50" s="32">
        <v>-340</v>
      </c>
      <c r="R50" s="32">
        <v>-569</v>
      </c>
      <c r="S50" s="32">
        <v>161</v>
      </c>
      <c r="T50" s="32">
        <v>943</v>
      </c>
      <c r="U50" s="32">
        <v>915</v>
      </c>
      <c r="V50" s="32">
        <v>420</v>
      </c>
      <c r="W50" s="158" t="s">
        <v>12</v>
      </c>
    </row>
    <row r="51" spans="1:23" ht="10.7" customHeight="1" x14ac:dyDescent="0.3">
      <c r="A51" s="168" t="s">
        <v>13</v>
      </c>
      <c r="B51" s="32">
        <v>-336</v>
      </c>
      <c r="C51" s="32">
        <v>19</v>
      </c>
      <c r="D51" s="32">
        <v>-210</v>
      </c>
      <c r="E51" s="32">
        <v>348</v>
      </c>
      <c r="F51" s="32">
        <v>-42</v>
      </c>
      <c r="G51" s="32">
        <v>-131</v>
      </c>
      <c r="H51" s="32">
        <v>46</v>
      </c>
      <c r="I51" s="32">
        <v>503</v>
      </c>
      <c r="J51" s="32">
        <v>516</v>
      </c>
      <c r="K51" s="32">
        <v>418</v>
      </c>
      <c r="L51" s="32">
        <v>192</v>
      </c>
      <c r="M51" s="32">
        <v>174</v>
      </c>
      <c r="N51" s="32">
        <v>18</v>
      </c>
      <c r="O51" s="32">
        <v>-87</v>
      </c>
      <c r="P51" s="32">
        <v>-169</v>
      </c>
      <c r="Q51" s="32">
        <v>-57</v>
      </c>
      <c r="R51" s="32">
        <v>-249</v>
      </c>
      <c r="S51" s="32">
        <v>185</v>
      </c>
      <c r="T51" s="32">
        <v>466</v>
      </c>
      <c r="U51" s="32">
        <v>581</v>
      </c>
      <c r="V51" s="32">
        <v>393</v>
      </c>
      <c r="W51" s="158" t="s">
        <v>13</v>
      </c>
    </row>
    <row r="52" spans="1:23" ht="10.7" customHeight="1" x14ac:dyDescent="0.3">
      <c r="A52" s="168" t="s">
        <v>14</v>
      </c>
      <c r="B52" s="32">
        <v>-228</v>
      </c>
      <c r="C52" s="32">
        <v>-18</v>
      </c>
      <c r="D52" s="32">
        <v>-67</v>
      </c>
      <c r="E52" s="32">
        <v>157</v>
      </c>
      <c r="F52" s="32">
        <v>32</v>
      </c>
      <c r="G52" s="32">
        <v>-436</v>
      </c>
      <c r="H52" s="32">
        <v>-17</v>
      </c>
      <c r="I52" s="32">
        <v>186</v>
      </c>
      <c r="J52" s="32">
        <v>250</v>
      </c>
      <c r="K52" s="32">
        <v>116</v>
      </c>
      <c r="L52" s="32">
        <v>77</v>
      </c>
      <c r="M52" s="32">
        <v>104</v>
      </c>
      <c r="N52" s="32">
        <v>246</v>
      </c>
      <c r="O52" s="32">
        <v>-129</v>
      </c>
      <c r="P52" s="32">
        <v>-164</v>
      </c>
      <c r="Q52" s="32">
        <v>-202</v>
      </c>
      <c r="R52" s="32">
        <v>-151</v>
      </c>
      <c r="S52" s="32">
        <v>210</v>
      </c>
      <c r="T52" s="32">
        <v>184</v>
      </c>
      <c r="U52" s="32">
        <v>87</v>
      </c>
      <c r="V52" s="32">
        <v>201</v>
      </c>
      <c r="W52" s="158" t="s">
        <v>14</v>
      </c>
    </row>
    <row r="53" spans="1:23" ht="10.7" customHeight="1" x14ac:dyDescent="0.3">
      <c r="A53" s="168" t="s">
        <v>15</v>
      </c>
      <c r="B53" s="32">
        <v>657</v>
      </c>
      <c r="C53" s="32">
        <v>721</v>
      </c>
      <c r="D53" s="32">
        <v>596</v>
      </c>
      <c r="E53" s="32">
        <v>1369</v>
      </c>
      <c r="F53" s="32">
        <v>752</v>
      </c>
      <c r="G53" s="32">
        <v>285</v>
      </c>
      <c r="H53" s="32">
        <v>270</v>
      </c>
      <c r="I53" s="32">
        <v>886</v>
      </c>
      <c r="J53" s="32">
        <v>1091</v>
      </c>
      <c r="K53" s="32">
        <v>905</v>
      </c>
      <c r="L53" s="32">
        <v>611</v>
      </c>
      <c r="M53" s="32">
        <v>610</v>
      </c>
      <c r="N53" s="32">
        <v>811</v>
      </c>
      <c r="O53" s="32">
        <v>565</v>
      </c>
      <c r="P53" s="32">
        <v>760</v>
      </c>
      <c r="Q53" s="32">
        <v>1044</v>
      </c>
      <c r="R53" s="32">
        <v>33</v>
      </c>
      <c r="S53" s="32">
        <v>244</v>
      </c>
      <c r="T53" s="32">
        <v>480</v>
      </c>
      <c r="U53" s="32">
        <v>822</v>
      </c>
      <c r="V53" s="32">
        <v>1210</v>
      </c>
      <c r="W53" s="158" t="s">
        <v>15</v>
      </c>
    </row>
    <row r="54" spans="1:23" ht="10.7" customHeight="1" x14ac:dyDescent="0.3">
      <c r="A54" s="168" t="s">
        <v>16</v>
      </c>
      <c r="B54" s="32">
        <v>271</v>
      </c>
      <c r="C54" s="32">
        <v>1036</v>
      </c>
      <c r="D54" s="32">
        <v>512</v>
      </c>
      <c r="E54" s="32">
        <v>1974</v>
      </c>
      <c r="F54" s="32">
        <v>1475</v>
      </c>
      <c r="G54" s="32">
        <v>305</v>
      </c>
      <c r="H54" s="32">
        <v>21</v>
      </c>
      <c r="I54" s="32">
        <v>1151</v>
      </c>
      <c r="J54" s="32">
        <v>1379</v>
      </c>
      <c r="K54" s="32">
        <v>1101</v>
      </c>
      <c r="L54" s="32">
        <v>313</v>
      </c>
      <c r="M54" s="32">
        <v>-21</v>
      </c>
      <c r="N54" s="32">
        <v>-150</v>
      </c>
      <c r="O54" s="32">
        <v>-259</v>
      </c>
      <c r="P54" s="32">
        <v>-106</v>
      </c>
      <c r="Q54" s="32">
        <v>-454</v>
      </c>
      <c r="R54" s="32">
        <v>-1285</v>
      </c>
      <c r="S54" s="32">
        <v>109</v>
      </c>
      <c r="T54" s="32">
        <v>849</v>
      </c>
      <c r="U54" s="32">
        <v>1178</v>
      </c>
      <c r="V54" s="32">
        <v>1272</v>
      </c>
      <c r="W54" s="158" t="s">
        <v>16</v>
      </c>
    </row>
    <row r="55" spans="1:23" ht="10.7" customHeight="1" x14ac:dyDescent="0.3">
      <c r="A55" s="168" t="s">
        <v>17</v>
      </c>
      <c r="B55" s="32">
        <v>366</v>
      </c>
      <c r="C55" s="32">
        <v>1106</v>
      </c>
      <c r="D55" s="32">
        <v>775</v>
      </c>
      <c r="E55" s="32">
        <v>1912</v>
      </c>
      <c r="F55" s="32">
        <v>1433</v>
      </c>
      <c r="G55" s="32">
        <v>372</v>
      </c>
      <c r="H55" s="32">
        <v>432</v>
      </c>
      <c r="I55" s="32">
        <v>2777</v>
      </c>
      <c r="J55" s="32">
        <v>2561</v>
      </c>
      <c r="K55" s="32">
        <v>1959</v>
      </c>
      <c r="L55" s="32">
        <v>939</v>
      </c>
      <c r="M55" s="32">
        <v>574</v>
      </c>
      <c r="N55" s="32">
        <v>388</v>
      </c>
      <c r="O55" s="32">
        <v>-344</v>
      </c>
      <c r="P55" s="32">
        <v>-182</v>
      </c>
      <c r="Q55" s="32">
        <v>-552</v>
      </c>
      <c r="R55" s="32">
        <v>-1208</v>
      </c>
      <c r="S55" s="32">
        <v>749</v>
      </c>
      <c r="T55" s="32">
        <v>1912</v>
      </c>
      <c r="U55" s="32">
        <v>2068</v>
      </c>
      <c r="V55" s="32">
        <v>1424</v>
      </c>
      <c r="W55" s="158" t="s">
        <v>17</v>
      </c>
    </row>
    <row r="56" spans="1:23" ht="6.95" customHeight="1" x14ac:dyDescent="0.3">
      <c r="A56" s="168"/>
      <c r="B56" s="32">
        <v>-437</v>
      </c>
      <c r="C56" s="32">
        <v>450</v>
      </c>
      <c r="D56" s="32">
        <v>283</v>
      </c>
      <c r="E56" s="32">
        <v>873</v>
      </c>
      <c r="F56" s="32">
        <v>64</v>
      </c>
      <c r="G56" s="32">
        <v>114</v>
      </c>
      <c r="H56" s="32">
        <v>186</v>
      </c>
      <c r="I56" s="32">
        <v>1783</v>
      </c>
      <c r="J56" s="32">
        <v>1477</v>
      </c>
      <c r="K56" s="32">
        <v>1160</v>
      </c>
      <c r="L56" s="32">
        <v>451</v>
      </c>
      <c r="M56" s="32">
        <v>428</v>
      </c>
      <c r="N56" s="32">
        <v>179</v>
      </c>
      <c r="O56" s="32">
        <v>-562</v>
      </c>
      <c r="P56" s="32">
        <v>-243</v>
      </c>
      <c r="Q56" s="32">
        <v>-160</v>
      </c>
      <c r="R56" s="32">
        <v>-968</v>
      </c>
      <c r="S56" s="32">
        <v>761</v>
      </c>
      <c r="T56" s="32">
        <v>1904</v>
      </c>
      <c r="U56" s="32">
        <v>2294</v>
      </c>
      <c r="V56" s="32">
        <v>1428</v>
      </c>
      <c r="W56" s="158"/>
    </row>
    <row r="57" spans="1:23" ht="10.7" customHeight="1" x14ac:dyDescent="0.3">
      <c r="A57" s="168" t="s">
        <v>18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158" t="s">
        <v>18</v>
      </c>
    </row>
    <row r="58" spans="1:23" ht="10.7" customHeight="1" x14ac:dyDescent="0.3">
      <c r="A58" s="168" t="s">
        <v>19</v>
      </c>
      <c r="B58" s="32">
        <v>-557</v>
      </c>
      <c r="C58" s="32">
        <v>27</v>
      </c>
      <c r="D58" s="32">
        <v>141</v>
      </c>
      <c r="E58" s="32">
        <v>291</v>
      </c>
      <c r="F58" s="32">
        <v>-174</v>
      </c>
      <c r="G58" s="32">
        <v>-179</v>
      </c>
      <c r="H58" s="32">
        <v>189</v>
      </c>
      <c r="I58" s="32">
        <v>893</v>
      </c>
      <c r="J58" s="32">
        <v>999</v>
      </c>
      <c r="K58" s="32">
        <v>756</v>
      </c>
      <c r="L58" s="32">
        <v>335</v>
      </c>
      <c r="M58" s="32">
        <v>445</v>
      </c>
      <c r="N58" s="32">
        <v>189</v>
      </c>
      <c r="O58" s="32">
        <v>-60</v>
      </c>
      <c r="P58" s="32">
        <v>4</v>
      </c>
      <c r="Q58" s="32">
        <v>-47</v>
      </c>
      <c r="R58" s="32">
        <v>-519</v>
      </c>
      <c r="S58" s="32">
        <v>510</v>
      </c>
      <c r="T58" s="32">
        <v>1586</v>
      </c>
      <c r="U58" s="32">
        <v>1686</v>
      </c>
      <c r="V58" s="32">
        <v>1132</v>
      </c>
      <c r="W58" s="158" t="s">
        <v>19</v>
      </c>
    </row>
    <row r="59" spans="1:23" ht="10.7" customHeight="1" x14ac:dyDescent="0.3">
      <c r="A59" s="168" t="s">
        <v>20</v>
      </c>
      <c r="B59" s="32">
        <v>-351</v>
      </c>
      <c r="C59" s="32">
        <v>-111</v>
      </c>
      <c r="D59" s="32">
        <v>-28</v>
      </c>
      <c r="E59" s="32">
        <v>242</v>
      </c>
      <c r="F59" s="32">
        <v>-103</v>
      </c>
      <c r="G59" s="32">
        <v>-85</v>
      </c>
      <c r="H59" s="32">
        <v>-7</v>
      </c>
      <c r="I59" s="32">
        <v>542</v>
      </c>
      <c r="J59" s="32">
        <v>649</v>
      </c>
      <c r="K59" s="32">
        <v>578</v>
      </c>
      <c r="L59" s="32">
        <v>354</v>
      </c>
      <c r="M59" s="32">
        <v>320</v>
      </c>
      <c r="N59" s="32">
        <v>221</v>
      </c>
      <c r="O59" s="32">
        <v>-54</v>
      </c>
      <c r="P59" s="32">
        <v>55</v>
      </c>
      <c r="Q59" s="32">
        <v>-66</v>
      </c>
      <c r="R59" s="32">
        <v>-493</v>
      </c>
      <c r="S59" s="32">
        <v>453</v>
      </c>
      <c r="T59" s="32">
        <v>810</v>
      </c>
      <c r="U59" s="32">
        <v>1033</v>
      </c>
      <c r="V59" s="32">
        <v>719</v>
      </c>
      <c r="W59" s="158" t="s">
        <v>20</v>
      </c>
    </row>
    <row r="60" spans="1:23" ht="10.7" customHeight="1" x14ac:dyDescent="0.3">
      <c r="A60" s="168" t="s">
        <v>21</v>
      </c>
      <c r="B60" s="32">
        <v>-87</v>
      </c>
      <c r="C60" s="32">
        <v>-42</v>
      </c>
      <c r="D60" s="32">
        <v>69</v>
      </c>
      <c r="E60" s="32">
        <v>255</v>
      </c>
      <c r="F60" s="32">
        <v>173</v>
      </c>
      <c r="G60" s="32">
        <v>-98</v>
      </c>
      <c r="H60" s="32">
        <v>-61</v>
      </c>
      <c r="I60" s="32">
        <v>793</v>
      </c>
      <c r="J60" s="32">
        <v>547</v>
      </c>
      <c r="K60" s="32">
        <v>497</v>
      </c>
      <c r="L60" s="32">
        <v>75</v>
      </c>
      <c r="M60" s="32">
        <v>108</v>
      </c>
      <c r="N60" s="32">
        <v>23</v>
      </c>
      <c r="O60" s="32">
        <v>-97</v>
      </c>
      <c r="P60" s="32">
        <v>-130</v>
      </c>
      <c r="Q60" s="32">
        <v>-74</v>
      </c>
      <c r="R60" s="32">
        <v>-644</v>
      </c>
      <c r="S60" s="32">
        <v>233</v>
      </c>
      <c r="T60" s="32">
        <v>766</v>
      </c>
      <c r="U60" s="32">
        <v>1134</v>
      </c>
      <c r="V60" s="32">
        <v>752</v>
      </c>
      <c r="W60" s="158" t="s">
        <v>21</v>
      </c>
    </row>
    <row r="61" spans="1:23" ht="10.7" customHeight="1" x14ac:dyDescent="0.3">
      <c r="A61" s="168" t="s">
        <v>22</v>
      </c>
      <c r="B61" s="32">
        <v>156</v>
      </c>
      <c r="C61" s="32">
        <v>143</v>
      </c>
      <c r="D61" s="32">
        <v>200</v>
      </c>
      <c r="E61" s="32">
        <v>428</v>
      </c>
      <c r="F61" s="32">
        <v>95</v>
      </c>
      <c r="G61" s="32">
        <v>57</v>
      </c>
      <c r="H61" s="32">
        <v>32</v>
      </c>
      <c r="I61" s="32">
        <v>538</v>
      </c>
      <c r="J61" s="32">
        <v>658</v>
      </c>
      <c r="K61" s="32">
        <v>533</v>
      </c>
      <c r="L61" s="32">
        <v>276</v>
      </c>
      <c r="M61" s="32">
        <v>94</v>
      </c>
      <c r="N61" s="32">
        <v>-122</v>
      </c>
      <c r="O61" s="32">
        <v>-76</v>
      </c>
      <c r="P61" s="32">
        <v>10</v>
      </c>
      <c r="Q61" s="32">
        <v>-276</v>
      </c>
      <c r="R61" s="32">
        <v>-657</v>
      </c>
      <c r="S61" s="32">
        <v>81</v>
      </c>
      <c r="T61" s="32">
        <v>436</v>
      </c>
      <c r="U61" s="32">
        <v>743</v>
      </c>
      <c r="V61" s="32">
        <v>610</v>
      </c>
      <c r="W61" s="158" t="s">
        <v>22</v>
      </c>
    </row>
    <row r="62" spans="1:23" ht="10.7" customHeight="1" x14ac:dyDescent="0.3">
      <c r="A62" s="168" t="s">
        <v>279</v>
      </c>
      <c r="B62" s="32">
        <v>358</v>
      </c>
      <c r="C62" s="32">
        <v>1071</v>
      </c>
      <c r="D62" s="32">
        <v>1343</v>
      </c>
      <c r="E62" s="32">
        <v>1703</v>
      </c>
      <c r="F62" s="32">
        <v>600</v>
      </c>
      <c r="G62" s="32">
        <v>595</v>
      </c>
      <c r="H62" s="32">
        <v>615</v>
      </c>
      <c r="I62" s="32">
        <v>1935</v>
      </c>
      <c r="J62" s="32">
        <v>1965</v>
      </c>
      <c r="K62" s="32">
        <v>1664</v>
      </c>
      <c r="L62" s="32">
        <v>1224</v>
      </c>
      <c r="M62" s="32">
        <v>1706</v>
      </c>
      <c r="N62" s="32">
        <v>1279</v>
      </c>
      <c r="O62" s="32">
        <v>957</v>
      </c>
      <c r="P62" s="32">
        <v>1098</v>
      </c>
      <c r="Q62" s="32">
        <v>684</v>
      </c>
      <c r="R62" s="32">
        <v>20</v>
      </c>
      <c r="S62" s="32">
        <v>1532</v>
      </c>
      <c r="T62" s="32">
        <v>2325</v>
      </c>
      <c r="U62" s="32">
        <v>2986</v>
      </c>
      <c r="V62" s="32">
        <v>2694</v>
      </c>
      <c r="W62" s="158" t="s">
        <v>278</v>
      </c>
    </row>
    <row r="63" spans="1:23" ht="6.95" customHeight="1" x14ac:dyDescent="0.3">
      <c r="A63" s="168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158"/>
    </row>
    <row r="64" spans="1:23" ht="10.7" customHeight="1" x14ac:dyDescent="0.3">
      <c r="A64" s="168" t="s">
        <v>299</v>
      </c>
      <c r="B64" s="32">
        <v>1243</v>
      </c>
      <c r="C64" s="32">
        <v>2894</v>
      </c>
      <c r="D64" s="32">
        <v>1876</v>
      </c>
      <c r="E64" s="32">
        <v>5248</v>
      </c>
      <c r="F64" s="32">
        <v>3639</v>
      </c>
      <c r="G64" s="32">
        <v>775</v>
      </c>
      <c r="H64" s="32">
        <v>686</v>
      </c>
      <c r="I64" s="32">
        <v>4866</v>
      </c>
      <c r="J64" s="32">
        <v>5096</v>
      </c>
      <c r="K64" s="32">
        <v>3980</v>
      </c>
      <c r="L64" s="32">
        <v>1866</v>
      </c>
      <c r="M64" s="32">
        <v>1197</v>
      </c>
      <c r="N64" s="32">
        <v>1140</v>
      </c>
      <c r="O64" s="32">
        <v>-100</v>
      </c>
      <c r="P64" s="32">
        <v>431</v>
      </c>
      <c r="Q64" s="32">
        <v>70</v>
      </c>
      <c r="R64" s="32">
        <v>-2450</v>
      </c>
      <c r="S64" s="32">
        <v>1183</v>
      </c>
      <c r="T64" s="32">
        <v>3198</v>
      </c>
      <c r="U64" s="32">
        <v>3907</v>
      </c>
      <c r="V64" s="32">
        <v>3927</v>
      </c>
      <c r="W64" s="158" t="s">
        <v>299</v>
      </c>
    </row>
    <row r="65" spans="1:23" ht="10.7" customHeight="1" x14ac:dyDescent="0.3">
      <c r="A65" s="168" t="s">
        <v>300</v>
      </c>
      <c r="B65" s="32">
        <v>-800</v>
      </c>
      <c r="C65" s="32">
        <v>251</v>
      </c>
      <c r="D65" s="32">
        <v>670</v>
      </c>
      <c r="E65" s="32">
        <v>1521</v>
      </c>
      <c r="F65" s="32">
        <v>98</v>
      </c>
      <c r="G65" s="32">
        <v>-166</v>
      </c>
      <c r="H65" s="32">
        <v>146</v>
      </c>
      <c r="I65" s="32">
        <v>3277</v>
      </c>
      <c r="J65" s="32">
        <v>3235</v>
      </c>
      <c r="K65" s="32">
        <v>2721</v>
      </c>
      <c r="L65" s="32">
        <v>1169</v>
      </c>
      <c r="M65" s="32">
        <v>1411</v>
      </c>
      <c r="N65" s="32">
        <v>384</v>
      </c>
      <c r="O65" s="32">
        <v>-346</v>
      </c>
      <c r="P65" s="32">
        <v>-104</v>
      </c>
      <c r="Q65" s="32">
        <v>-590</v>
      </c>
      <c r="R65" s="32">
        <v>-2706</v>
      </c>
      <c r="S65" s="32">
        <v>1435</v>
      </c>
      <c r="T65" s="32">
        <v>4099</v>
      </c>
      <c r="U65" s="32">
        <v>5368</v>
      </c>
      <c r="V65" s="32">
        <v>3726</v>
      </c>
      <c r="W65" s="158" t="s">
        <v>300</v>
      </c>
    </row>
    <row r="66" spans="1:23" ht="6.95" customHeight="1" x14ac:dyDescent="0.3">
      <c r="A66" s="168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158"/>
    </row>
    <row r="67" spans="1:23" ht="10.7" customHeight="1" x14ac:dyDescent="0.3">
      <c r="A67" s="169" t="s">
        <v>226</v>
      </c>
      <c r="B67" s="32">
        <v>94568</v>
      </c>
      <c r="C67" s="32">
        <v>81910</v>
      </c>
      <c r="D67" s="32">
        <v>68513</v>
      </c>
      <c r="E67" s="32">
        <v>57258</v>
      </c>
      <c r="F67" s="32">
        <v>50511</v>
      </c>
      <c r="G67" s="32">
        <v>46072</v>
      </c>
      <c r="H67" s="32">
        <v>69816</v>
      </c>
      <c r="I67" s="32">
        <v>38204</v>
      </c>
      <c r="J67" s="32">
        <v>41685</v>
      </c>
      <c r="K67" s="32">
        <v>37211</v>
      </c>
      <c r="L67" s="32">
        <v>26929</v>
      </c>
      <c r="M67" s="32">
        <v>47224</v>
      </c>
      <c r="N67" s="32">
        <v>65479</v>
      </c>
      <c r="O67" s="32">
        <v>54186</v>
      </c>
      <c r="P67" s="32">
        <v>81357</v>
      </c>
      <c r="Q67" s="32">
        <v>63100</v>
      </c>
      <c r="R67" s="32">
        <v>80208</v>
      </c>
      <c r="S67" s="32">
        <v>71215</v>
      </c>
      <c r="T67" s="32">
        <v>20110</v>
      </c>
      <c r="U67" s="32">
        <v>22743</v>
      </c>
      <c r="V67" s="32">
        <v>33994</v>
      </c>
      <c r="W67" s="167" t="s">
        <v>226</v>
      </c>
    </row>
    <row r="68" spans="1:23" ht="6.95" customHeight="1" x14ac:dyDescent="0.3">
      <c r="A68" s="168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158"/>
    </row>
    <row r="69" spans="1:23" ht="10.7" customHeight="1" x14ac:dyDescent="0.3">
      <c r="A69" s="168" t="s">
        <v>11</v>
      </c>
      <c r="B69" s="32">
        <v>6307</v>
      </c>
      <c r="C69" s="32">
        <v>5063</v>
      </c>
      <c r="D69" s="32">
        <v>4756</v>
      </c>
      <c r="E69" s="32">
        <v>3735</v>
      </c>
      <c r="F69" s="32">
        <v>3772</v>
      </c>
      <c r="G69" s="32">
        <v>3702</v>
      </c>
      <c r="H69" s="32">
        <v>5978</v>
      </c>
      <c r="I69" s="32">
        <v>2905</v>
      </c>
      <c r="J69" s="32">
        <v>3512</v>
      </c>
      <c r="K69" s="32">
        <v>3583</v>
      </c>
      <c r="L69" s="32">
        <v>3113</v>
      </c>
      <c r="M69" s="32">
        <v>3988</v>
      </c>
      <c r="N69" s="32">
        <v>5751</v>
      </c>
      <c r="O69" s="32">
        <v>5371</v>
      </c>
      <c r="P69" s="32">
        <v>7848</v>
      </c>
      <c r="Q69" s="32">
        <v>5342</v>
      </c>
      <c r="R69" s="32">
        <v>5272</v>
      </c>
      <c r="S69" s="32">
        <v>3878</v>
      </c>
      <c r="T69" s="32">
        <v>1440</v>
      </c>
      <c r="U69" s="32">
        <v>1329</v>
      </c>
      <c r="V69" s="32">
        <v>2261</v>
      </c>
      <c r="W69" s="158" t="s">
        <v>11</v>
      </c>
    </row>
    <row r="70" spans="1:23" ht="10.7" customHeight="1" x14ac:dyDescent="0.3">
      <c r="A70" s="168" t="s">
        <v>12</v>
      </c>
      <c r="B70" s="32">
        <v>4184</v>
      </c>
      <c r="C70" s="32">
        <v>2616</v>
      </c>
      <c r="D70" s="32">
        <v>2069</v>
      </c>
      <c r="E70" s="32">
        <v>1098</v>
      </c>
      <c r="F70" s="32">
        <v>1105</v>
      </c>
      <c r="G70" s="32">
        <v>1125</v>
      </c>
      <c r="H70" s="32">
        <v>2246</v>
      </c>
      <c r="I70" s="32">
        <v>515</v>
      </c>
      <c r="J70" s="32">
        <v>452</v>
      </c>
      <c r="K70" s="32">
        <v>859</v>
      </c>
      <c r="L70" s="32">
        <v>160</v>
      </c>
      <c r="M70" s="32">
        <v>478</v>
      </c>
      <c r="N70" s="32">
        <v>2141</v>
      </c>
      <c r="O70" s="32">
        <v>2373</v>
      </c>
      <c r="P70" s="32">
        <v>3787</v>
      </c>
      <c r="Q70" s="32">
        <v>2343</v>
      </c>
      <c r="R70" s="32">
        <v>2839</v>
      </c>
      <c r="S70" s="32">
        <v>2320</v>
      </c>
      <c r="T70" s="32">
        <v>188</v>
      </c>
      <c r="U70" s="32">
        <v>470</v>
      </c>
      <c r="V70" s="32">
        <v>88</v>
      </c>
      <c r="W70" s="158" t="s">
        <v>12</v>
      </c>
    </row>
    <row r="71" spans="1:23" ht="10.7" customHeight="1" x14ac:dyDescent="0.3">
      <c r="A71" s="168" t="s">
        <v>13</v>
      </c>
      <c r="B71" s="32">
        <v>2128</v>
      </c>
      <c r="C71" s="32">
        <v>839</v>
      </c>
      <c r="D71" s="32">
        <v>155</v>
      </c>
      <c r="E71" s="32">
        <v>-235</v>
      </c>
      <c r="F71" s="32">
        <v>110</v>
      </c>
      <c r="G71" s="32">
        <v>0</v>
      </c>
      <c r="H71" s="32">
        <v>1396</v>
      </c>
      <c r="I71" s="32">
        <v>-249</v>
      </c>
      <c r="J71" s="32">
        <v>366</v>
      </c>
      <c r="K71" s="32">
        <v>266</v>
      </c>
      <c r="L71" s="32">
        <v>-239</v>
      </c>
      <c r="M71" s="32">
        <v>390</v>
      </c>
      <c r="N71" s="32">
        <v>969</v>
      </c>
      <c r="O71" s="32">
        <v>861</v>
      </c>
      <c r="P71" s="32">
        <v>2148</v>
      </c>
      <c r="Q71" s="32">
        <v>1168</v>
      </c>
      <c r="R71" s="32">
        <v>1423</v>
      </c>
      <c r="S71" s="32">
        <v>1568</v>
      </c>
      <c r="T71" s="32">
        <v>301</v>
      </c>
      <c r="U71" s="32">
        <v>241</v>
      </c>
      <c r="V71" s="32">
        <v>73</v>
      </c>
      <c r="W71" s="158" t="s">
        <v>13</v>
      </c>
    </row>
    <row r="72" spans="1:23" ht="10.7" customHeight="1" x14ac:dyDescent="0.3">
      <c r="A72" s="168" t="s">
        <v>14</v>
      </c>
      <c r="B72" s="32">
        <v>2941</v>
      </c>
      <c r="C72" s="32">
        <v>3250</v>
      </c>
      <c r="D72" s="32">
        <v>2386</v>
      </c>
      <c r="E72" s="32">
        <v>1584</v>
      </c>
      <c r="F72" s="32">
        <v>1596</v>
      </c>
      <c r="G72" s="32">
        <v>1558</v>
      </c>
      <c r="H72" s="32">
        <v>2407</v>
      </c>
      <c r="I72" s="32">
        <v>715</v>
      </c>
      <c r="J72" s="32">
        <v>1311</v>
      </c>
      <c r="K72" s="32">
        <v>541</v>
      </c>
      <c r="L72" s="32">
        <v>37</v>
      </c>
      <c r="M72" s="32">
        <v>432</v>
      </c>
      <c r="N72" s="32">
        <v>1433</v>
      </c>
      <c r="O72" s="32">
        <v>720</v>
      </c>
      <c r="P72" s="32">
        <v>1086</v>
      </c>
      <c r="Q72" s="32">
        <v>1197</v>
      </c>
      <c r="R72" s="32">
        <v>2187</v>
      </c>
      <c r="S72" s="32">
        <v>2244</v>
      </c>
      <c r="T72" s="32">
        <v>-207</v>
      </c>
      <c r="U72" s="32">
        <v>-318</v>
      </c>
      <c r="V72" s="32">
        <v>-1002</v>
      </c>
      <c r="W72" s="158" t="s">
        <v>14</v>
      </c>
    </row>
    <row r="73" spans="1:23" ht="10.7" customHeight="1" x14ac:dyDescent="0.3">
      <c r="A73" s="168" t="s">
        <v>15</v>
      </c>
      <c r="B73" s="32">
        <v>15193</v>
      </c>
      <c r="C73" s="32">
        <v>15412</v>
      </c>
      <c r="D73" s="32">
        <v>11516</v>
      </c>
      <c r="E73" s="32">
        <v>7491</v>
      </c>
      <c r="F73" s="32">
        <v>5346</v>
      </c>
      <c r="G73" s="32">
        <v>5132</v>
      </c>
      <c r="H73" s="32">
        <v>6607</v>
      </c>
      <c r="I73" s="32">
        <v>3778</v>
      </c>
      <c r="J73" s="32">
        <v>4378</v>
      </c>
      <c r="K73" s="32">
        <v>3348</v>
      </c>
      <c r="L73" s="32">
        <v>2209</v>
      </c>
      <c r="M73" s="32">
        <v>3656</v>
      </c>
      <c r="N73" s="32">
        <v>4969</v>
      </c>
      <c r="O73" s="32">
        <v>2863</v>
      </c>
      <c r="P73" s="32">
        <v>3555</v>
      </c>
      <c r="Q73" s="32">
        <v>4898</v>
      </c>
      <c r="R73" s="32">
        <v>9103</v>
      </c>
      <c r="S73" s="32">
        <v>6924</v>
      </c>
      <c r="T73" s="32">
        <v>-454</v>
      </c>
      <c r="U73" s="32">
        <v>1145</v>
      </c>
      <c r="V73" s="32">
        <v>1815</v>
      </c>
      <c r="W73" s="158" t="s">
        <v>15</v>
      </c>
    </row>
    <row r="74" spans="1:23" ht="10.7" customHeight="1" x14ac:dyDescent="0.3">
      <c r="A74" s="168" t="s">
        <v>16</v>
      </c>
      <c r="B74" s="32">
        <v>19965</v>
      </c>
      <c r="C74" s="32">
        <v>17422</v>
      </c>
      <c r="D74" s="32">
        <v>14897</v>
      </c>
      <c r="E74" s="32">
        <v>12561</v>
      </c>
      <c r="F74" s="32">
        <v>9357</v>
      </c>
      <c r="G74" s="32">
        <v>8209</v>
      </c>
      <c r="H74" s="32">
        <v>12169</v>
      </c>
      <c r="I74" s="32">
        <v>7093</v>
      </c>
      <c r="J74" s="32">
        <v>6791</v>
      </c>
      <c r="K74" s="32">
        <v>5584</v>
      </c>
      <c r="L74" s="32">
        <v>4257</v>
      </c>
      <c r="M74" s="32">
        <v>5268</v>
      </c>
      <c r="N74" s="32">
        <v>6290</v>
      </c>
      <c r="O74" s="32">
        <v>4445</v>
      </c>
      <c r="P74" s="32">
        <v>5841</v>
      </c>
      <c r="Q74" s="32">
        <v>5033</v>
      </c>
      <c r="R74" s="32">
        <v>7338</v>
      </c>
      <c r="S74" s="32">
        <v>5861</v>
      </c>
      <c r="T74" s="32">
        <v>783</v>
      </c>
      <c r="U74" s="32">
        <v>579</v>
      </c>
      <c r="V74" s="32">
        <v>3928</v>
      </c>
      <c r="W74" s="158" t="s">
        <v>16</v>
      </c>
    </row>
    <row r="75" spans="1:23" ht="10.7" customHeight="1" x14ac:dyDescent="0.3">
      <c r="A75" s="168" t="s">
        <v>17</v>
      </c>
      <c r="B75" s="32">
        <v>12691</v>
      </c>
      <c r="C75" s="32">
        <v>11466</v>
      </c>
      <c r="D75" s="32">
        <v>10467</v>
      </c>
      <c r="E75" s="32">
        <v>9682</v>
      </c>
      <c r="F75" s="32">
        <v>7982</v>
      </c>
      <c r="G75" s="32">
        <v>8031</v>
      </c>
      <c r="H75" s="32">
        <v>12638</v>
      </c>
      <c r="I75" s="32">
        <v>7216</v>
      </c>
      <c r="J75" s="32">
        <v>8749</v>
      </c>
      <c r="K75" s="32">
        <v>8929</v>
      </c>
      <c r="L75" s="32">
        <v>6778</v>
      </c>
      <c r="M75" s="32">
        <v>8683</v>
      </c>
      <c r="N75" s="32">
        <v>10085</v>
      </c>
      <c r="O75" s="32">
        <v>8697</v>
      </c>
      <c r="P75" s="32">
        <v>11738</v>
      </c>
      <c r="Q75" s="32">
        <v>9428</v>
      </c>
      <c r="R75" s="32">
        <v>10827</v>
      </c>
      <c r="S75" s="32">
        <v>10788</v>
      </c>
      <c r="T75" s="32">
        <v>5951</v>
      </c>
      <c r="U75" s="32">
        <v>5772</v>
      </c>
      <c r="V75" s="32">
        <v>7772</v>
      </c>
      <c r="W75" s="158" t="s">
        <v>17</v>
      </c>
    </row>
    <row r="76" spans="1:23" ht="6.95" customHeight="1" x14ac:dyDescent="0.3">
      <c r="A76" s="168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158"/>
    </row>
    <row r="77" spans="1:23" ht="10.5" customHeight="1" x14ac:dyDescent="0.3">
      <c r="A77" s="168" t="s">
        <v>18</v>
      </c>
      <c r="B77" s="32">
        <v>5360</v>
      </c>
      <c r="C77" s="32">
        <v>4328</v>
      </c>
      <c r="D77" s="32">
        <v>3210</v>
      </c>
      <c r="E77" s="32">
        <v>2729</v>
      </c>
      <c r="F77" s="32">
        <v>3559</v>
      </c>
      <c r="G77" s="32">
        <v>3923</v>
      </c>
      <c r="H77" s="32">
        <v>6389</v>
      </c>
      <c r="I77" s="32">
        <v>3360</v>
      </c>
      <c r="J77" s="32">
        <v>3650</v>
      </c>
      <c r="K77" s="32">
        <v>3650</v>
      </c>
      <c r="L77" s="32">
        <v>2373</v>
      </c>
      <c r="M77" s="32">
        <v>4912</v>
      </c>
      <c r="N77" s="32">
        <v>7187</v>
      </c>
      <c r="O77" s="32">
        <v>7452</v>
      </c>
      <c r="P77" s="32">
        <v>11346</v>
      </c>
      <c r="Q77" s="32">
        <v>8371</v>
      </c>
      <c r="R77" s="32">
        <v>10080</v>
      </c>
      <c r="S77" s="32">
        <v>8459</v>
      </c>
      <c r="T77" s="32">
        <v>3439</v>
      </c>
      <c r="U77" s="32">
        <v>3123</v>
      </c>
      <c r="V77" s="32">
        <v>4329</v>
      </c>
      <c r="W77" s="158" t="s">
        <v>18</v>
      </c>
    </row>
    <row r="78" spans="1:23" ht="10.7" customHeight="1" x14ac:dyDescent="0.3">
      <c r="A78" s="168" t="s">
        <v>19</v>
      </c>
      <c r="B78" s="32">
        <v>4093</v>
      </c>
      <c r="C78" s="32">
        <v>2395</v>
      </c>
      <c r="D78" s="32">
        <v>1134</v>
      </c>
      <c r="E78" s="32">
        <v>1058</v>
      </c>
      <c r="F78" s="32">
        <v>758</v>
      </c>
      <c r="G78" s="32">
        <v>1105</v>
      </c>
      <c r="H78" s="32">
        <v>2247</v>
      </c>
      <c r="I78" s="32">
        <v>784</v>
      </c>
      <c r="J78" s="32">
        <v>1115</v>
      </c>
      <c r="K78" s="32">
        <v>829</v>
      </c>
      <c r="L78" s="32">
        <v>375</v>
      </c>
      <c r="M78" s="32">
        <v>1527</v>
      </c>
      <c r="N78" s="32">
        <v>3589</v>
      </c>
      <c r="O78" s="32">
        <v>2675</v>
      </c>
      <c r="P78" s="32">
        <v>5671</v>
      </c>
      <c r="Q78" s="32">
        <v>3978</v>
      </c>
      <c r="R78" s="32">
        <v>5264</v>
      </c>
      <c r="S78" s="32">
        <v>4626</v>
      </c>
      <c r="T78" s="32">
        <v>1173</v>
      </c>
      <c r="U78" s="32">
        <v>1295</v>
      </c>
      <c r="V78" s="32">
        <v>1425</v>
      </c>
      <c r="W78" s="158" t="s">
        <v>19</v>
      </c>
    </row>
    <row r="79" spans="1:23" ht="10.7" customHeight="1" x14ac:dyDescent="0.3">
      <c r="A79" s="168" t="s">
        <v>20</v>
      </c>
      <c r="B79" s="32">
        <v>4498</v>
      </c>
      <c r="C79" s="32">
        <v>3709</v>
      </c>
      <c r="D79" s="32">
        <v>2793</v>
      </c>
      <c r="E79" s="32">
        <v>2626</v>
      </c>
      <c r="F79" s="32">
        <v>2328</v>
      </c>
      <c r="G79" s="32">
        <v>2286</v>
      </c>
      <c r="H79" s="32">
        <v>2990</v>
      </c>
      <c r="I79" s="32">
        <v>908</v>
      </c>
      <c r="J79" s="32">
        <v>1522</v>
      </c>
      <c r="K79" s="32">
        <v>772</v>
      </c>
      <c r="L79" s="32">
        <v>263</v>
      </c>
      <c r="M79" s="32">
        <v>1402</v>
      </c>
      <c r="N79" s="32">
        <v>3024</v>
      </c>
      <c r="O79" s="32">
        <v>2374</v>
      </c>
      <c r="P79" s="32">
        <v>4617</v>
      </c>
      <c r="Q79" s="32">
        <v>3627</v>
      </c>
      <c r="R79" s="32">
        <v>4738</v>
      </c>
      <c r="S79" s="32">
        <v>3804</v>
      </c>
      <c r="T79" s="32">
        <v>826</v>
      </c>
      <c r="U79" s="32">
        <v>941</v>
      </c>
      <c r="V79" s="32">
        <v>888</v>
      </c>
      <c r="W79" s="158" t="s">
        <v>20</v>
      </c>
    </row>
    <row r="80" spans="1:23" ht="10.7" customHeight="1" x14ac:dyDescent="0.3">
      <c r="A80" s="168" t="s">
        <v>21</v>
      </c>
      <c r="B80" s="32">
        <v>4015</v>
      </c>
      <c r="C80" s="32">
        <v>3404</v>
      </c>
      <c r="D80" s="32">
        <v>3143</v>
      </c>
      <c r="E80" s="32">
        <v>3391</v>
      </c>
      <c r="F80" s="32">
        <v>3224</v>
      </c>
      <c r="G80" s="32">
        <v>2905</v>
      </c>
      <c r="H80" s="32">
        <v>3938</v>
      </c>
      <c r="I80" s="32">
        <v>2238</v>
      </c>
      <c r="J80" s="32">
        <v>2339</v>
      </c>
      <c r="K80" s="32">
        <v>1552</v>
      </c>
      <c r="L80" s="32">
        <v>878</v>
      </c>
      <c r="M80" s="32">
        <v>2251</v>
      </c>
      <c r="N80" s="32">
        <v>3180</v>
      </c>
      <c r="O80" s="32">
        <v>2629</v>
      </c>
      <c r="P80" s="32">
        <v>4157</v>
      </c>
      <c r="Q80" s="32">
        <v>3282</v>
      </c>
      <c r="R80" s="32">
        <v>4587</v>
      </c>
      <c r="S80" s="32">
        <v>4229</v>
      </c>
      <c r="T80" s="32">
        <v>1164</v>
      </c>
      <c r="U80" s="32">
        <v>1000</v>
      </c>
      <c r="V80" s="32">
        <v>1697</v>
      </c>
      <c r="W80" s="158" t="s">
        <v>21</v>
      </c>
    </row>
    <row r="81" spans="1:23" ht="10.7" customHeight="1" x14ac:dyDescent="0.3">
      <c r="A81" s="168" t="s">
        <v>22</v>
      </c>
      <c r="B81" s="32">
        <v>3498</v>
      </c>
      <c r="C81" s="32">
        <v>3296</v>
      </c>
      <c r="D81" s="32">
        <v>3224</v>
      </c>
      <c r="E81" s="32">
        <v>3594</v>
      </c>
      <c r="F81" s="32">
        <v>3412</v>
      </c>
      <c r="G81" s="32">
        <v>2797</v>
      </c>
      <c r="H81" s="32">
        <v>3237</v>
      </c>
      <c r="I81" s="32">
        <v>2500</v>
      </c>
      <c r="J81" s="32">
        <v>2420</v>
      </c>
      <c r="K81" s="32">
        <v>2207</v>
      </c>
      <c r="L81" s="32">
        <v>2007</v>
      </c>
      <c r="M81" s="32">
        <v>3672</v>
      </c>
      <c r="N81" s="32">
        <v>4540</v>
      </c>
      <c r="O81" s="32">
        <v>3450</v>
      </c>
      <c r="P81" s="32">
        <v>4905</v>
      </c>
      <c r="Q81" s="32">
        <v>3812</v>
      </c>
      <c r="R81" s="32">
        <v>4076</v>
      </c>
      <c r="S81" s="32">
        <v>3427</v>
      </c>
      <c r="T81" s="32">
        <v>663</v>
      </c>
      <c r="U81" s="32">
        <v>1056</v>
      </c>
      <c r="V81" s="32">
        <v>1894</v>
      </c>
      <c r="W81" s="158" t="s">
        <v>22</v>
      </c>
    </row>
    <row r="82" spans="1:23" ht="10.7" customHeight="1" x14ac:dyDescent="0.3">
      <c r="A82" s="168" t="s">
        <v>279</v>
      </c>
      <c r="B82" s="32">
        <v>9695</v>
      </c>
      <c r="C82" s="32">
        <v>8710</v>
      </c>
      <c r="D82" s="32">
        <v>8763</v>
      </c>
      <c r="E82" s="32">
        <v>7944</v>
      </c>
      <c r="F82" s="32">
        <v>7962</v>
      </c>
      <c r="G82" s="32">
        <v>5299</v>
      </c>
      <c r="H82" s="32">
        <v>7574</v>
      </c>
      <c r="I82" s="32">
        <v>6441</v>
      </c>
      <c r="J82" s="32">
        <v>5080</v>
      </c>
      <c r="K82" s="32">
        <v>5091</v>
      </c>
      <c r="L82" s="32">
        <v>4718</v>
      </c>
      <c r="M82" s="32">
        <v>10565</v>
      </c>
      <c r="N82" s="32">
        <v>12321</v>
      </c>
      <c r="O82" s="32">
        <v>10276</v>
      </c>
      <c r="P82" s="32">
        <v>14658</v>
      </c>
      <c r="Q82" s="32">
        <v>10621</v>
      </c>
      <c r="R82" s="32">
        <v>12474</v>
      </c>
      <c r="S82" s="32">
        <v>13087</v>
      </c>
      <c r="T82" s="32">
        <v>4843</v>
      </c>
      <c r="U82" s="32">
        <v>6110</v>
      </c>
      <c r="V82" s="32">
        <v>8826</v>
      </c>
      <c r="W82" s="158" t="s">
        <v>278</v>
      </c>
    </row>
    <row r="83" spans="1:23" ht="6.95" customHeight="1" x14ac:dyDescent="0.3">
      <c r="A83" s="168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58"/>
    </row>
    <row r="84" spans="1:23" ht="10.7" customHeight="1" x14ac:dyDescent="0.3">
      <c r="A84" s="168" t="s">
        <v>299</v>
      </c>
      <c r="B84" s="32">
        <v>48744</v>
      </c>
      <c r="C84" s="32">
        <v>45510</v>
      </c>
      <c r="D84" s="32">
        <v>37736</v>
      </c>
      <c r="E84" s="32">
        <v>30361</v>
      </c>
      <c r="F84" s="32">
        <v>23253</v>
      </c>
      <c r="G84" s="32">
        <v>21716</v>
      </c>
      <c r="H84" s="32">
        <v>31980</v>
      </c>
      <c r="I84" s="32">
        <v>17726</v>
      </c>
      <c r="J84" s="32">
        <v>19745</v>
      </c>
      <c r="K84" s="32">
        <v>17502</v>
      </c>
      <c r="L84" s="32">
        <v>12733</v>
      </c>
      <c r="M84" s="32">
        <v>17106</v>
      </c>
      <c r="N84" s="32">
        <v>21120</v>
      </c>
      <c r="O84" s="32">
        <v>15318</v>
      </c>
      <c r="P84" s="32">
        <v>20556</v>
      </c>
      <c r="Q84" s="32">
        <v>18840</v>
      </c>
      <c r="R84" s="32">
        <v>27409</v>
      </c>
      <c r="S84" s="32">
        <v>23766</v>
      </c>
      <c r="T84" s="32">
        <v>5236</v>
      </c>
      <c r="U84" s="32">
        <v>6378</v>
      </c>
      <c r="V84" s="32">
        <v>12253</v>
      </c>
      <c r="W84" s="158" t="s">
        <v>299</v>
      </c>
    </row>
    <row r="85" spans="1:23" ht="10.7" customHeight="1" x14ac:dyDescent="0.3">
      <c r="A85" s="168" t="s">
        <v>300</v>
      </c>
      <c r="B85" s="32">
        <v>19312</v>
      </c>
      <c r="C85" s="32">
        <v>15652</v>
      </c>
      <c r="D85" s="32">
        <v>13395</v>
      </c>
      <c r="E85" s="32">
        <v>13475</v>
      </c>
      <c r="F85" s="32">
        <v>12716</v>
      </c>
      <c r="G85" s="32">
        <v>11039</v>
      </c>
      <c r="H85" s="32">
        <v>15070</v>
      </c>
      <c r="I85" s="32">
        <v>8462</v>
      </c>
      <c r="J85" s="32">
        <v>9217</v>
      </c>
      <c r="K85" s="32">
        <v>6931</v>
      </c>
      <c r="L85" s="32">
        <v>4954</v>
      </c>
      <c r="M85" s="32">
        <v>12089</v>
      </c>
      <c r="N85" s="32">
        <v>18304</v>
      </c>
      <c r="O85" s="32">
        <v>14335</v>
      </c>
      <c r="P85" s="32">
        <v>24014</v>
      </c>
      <c r="Q85" s="32">
        <v>17912</v>
      </c>
      <c r="R85" s="32">
        <v>22634</v>
      </c>
      <c r="S85" s="32">
        <v>19943</v>
      </c>
      <c r="T85" s="32">
        <v>4554</v>
      </c>
      <c r="U85" s="32">
        <v>5365</v>
      </c>
      <c r="V85" s="32">
        <v>7711</v>
      </c>
      <c r="W85" s="158" t="s">
        <v>300</v>
      </c>
    </row>
    <row r="86" spans="1:23" ht="6.95" customHeight="1" thickBot="1" x14ac:dyDescent="0.35">
      <c r="A86" s="170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159"/>
    </row>
    <row r="87" spans="1:23" ht="10.7" customHeight="1" x14ac:dyDescent="0.3">
      <c r="A87" s="160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160"/>
    </row>
  </sheetData>
  <mergeCells count="4">
    <mergeCell ref="A3:A5"/>
    <mergeCell ref="W3:W5"/>
    <mergeCell ref="A1:K1"/>
    <mergeCell ref="L1:W1"/>
  </mergeCells>
  <phoneticPr fontId="1" type="noConversion"/>
  <conditionalFormatting sqref="B7:V85">
    <cfRule type="cellIs" dxfId="10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2" fitToWidth="2" orientation="portrait" r:id="rId1"/>
  <colBreaks count="1" manualBreakCount="1">
    <brk id="11" max="8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0"/>
  <sheetViews>
    <sheetView showGridLines="0" view="pageBreakPreview" zoomScaleNormal="100" zoomScaleSheetLayoutView="100" workbookViewId="0">
      <selection sqref="A1:K1"/>
    </sheetView>
  </sheetViews>
  <sheetFormatPr defaultRowHeight="16.5" x14ac:dyDescent="0.3"/>
  <cols>
    <col min="1" max="1" width="22.625" style="198" customWidth="1"/>
    <col min="2" max="11" width="9.75" style="172" customWidth="1"/>
    <col min="12" max="22" width="8.875" style="172" customWidth="1"/>
    <col min="23" max="23" width="22.625" style="198" customWidth="1"/>
    <col min="24" max="16384" width="9" style="172"/>
  </cols>
  <sheetData>
    <row r="1" spans="1:26" s="13" customFormat="1" ht="25.5" customHeight="1" x14ac:dyDescent="0.3">
      <c r="A1" s="287" t="s">
        <v>285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8" t="s">
        <v>286</v>
      </c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22"/>
      <c r="Y1" s="222"/>
      <c r="Z1" s="222"/>
    </row>
    <row r="2" spans="1:26" s="14" customFormat="1" ht="12.75" customHeight="1" thickBot="1" x14ac:dyDescent="0.35">
      <c r="A2" s="221"/>
      <c r="B2" s="202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2"/>
      <c r="Q2" s="203"/>
      <c r="R2" s="203"/>
      <c r="S2" s="203"/>
      <c r="T2" s="204"/>
      <c r="U2" s="204"/>
      <c r="V2" s="204"/>
      <c r="W2" s="224" t="s">
        <v>321</v>
      </c>
      <c r="X2" s="197"/>
      <c r="Y2" s="197"/>
    </row>
    <row r="3" spans="1:26" s="14" customFormat="1" ht="12.75" customHeight="1" x14ac:dyDescent="0.3">
      <c r="A3" s="281" t="s">
        <v>281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8"/>
      <c r="U3" s="247"/>
      <c r="V3" s="248"/>
      <c r="W3" s="289" t="s">
        <v>282</v>
      </c>
      <c r="X3" s="197"/>
      <c r="Y3" s="197"/>
    </row>
    <row r="4" spans="1:26" s="178" customFormat="1" ht="12.75" customHeight="1" x14ac:dyDescent="0.3">
      <c r="A4" s="282"/>
      <c r="B4" s="249">
        <v>2004</v>
      </c>
      <c r="C4" s="249">
        <v>2005</v>
      </c>
      <c r="D4" s="249">
        <v>2006</v>
      </c>
      <c r="E4" s="249">
        <v>2007</v>
      </c>
      <c r="F4" s="249">
        <v>2008</v>
      </c>
      <c r="G4" s="249">
        <v>2009</v>
      </c>
      <c r="H4" s="249">
        <v>2010</v>
      </c>
      <c r="I4" s="249">
        <v>2011</v>
      </c>
      <c r="J4" s="249">
        <f t="shared" ref="J4:O4" si="0">K4-1</f>
        <v>2012</v>
      </c>
      <c r="K4" s="249">
        <f t="shared" si="0"/>
        <v>2013</v>
      </c>
      <c r="L4" s="249">
        <f t="shared" si="0"/>
        <v>2014</v>
      </c>
      <c r="M4" s="249">
        <f t="shared" si="0"/>
        <v>2015</v>
      </c>
      <c r="N4" s="249">
        <f t="shared" si="0"/>
        <v>2016</v>
      </c>
      <c r="O4" s="249">
        <f t="shared" si="0"/>
        <v>2017</v>
      </c>
      <c r="P4" s="249">
        <v>2018</v>
      </c>
      <c r="Q4" s="249">
        <v>2019</v>
      </c>
      <c r="R4" s="249">
        <v>2020</v>
      </c>
      <c r="S4" s="249">
        <v>2021</v>
      </c>
      <c r="T4" s="250">
        <v>2022</v>
      </c>
      <c r="U4" s="249">
        <v>2023</v>
      </c>
      <c r="V4" s="250">
        <v>2024</v>
      </c>
      <c r="W4" s="290"/>
    </row>
    <row r="5" spans="1:26" s="178" customFormat="1" ht="12.75" customHeight="1" x14ac:dyDescent="0.3">
      <c r="A5" s="283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2"/>
      <c r="U5" s="251"/>
      <c r="V5" s="252"/>
      <c r="W5" s="291"/>
    </row>
    <row r="6" spans="1:26" s="178" customFormat="1" ht="6.95" customHeight="1" x14ac:dyDescent="0.3">
      <c r="A6" s="253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5"/>
      <c r="W6" s="256"/>
    </row>
    <row r="7" spans="1:26" ht="12.75" customHeight="1" x14ac:dyDescent="0.3">
      <c r="A7" s="257" t="s">
        <v>318</v>
      </c>
      <c r="B7" s="258">
        <v>4468290</v>
      </c>
      <c r="C7" s="258">
        <v>4690238</v>
      </c>
      <c r="D7" s="258">
        <v>5157005</v>
      </c>
      <c r="E7" s="258">
        <v>4961621</v>
      </c>
      <c r="F7" s="258">
        <v>4786528</v>
      </c>
      <c r="G7" s="258">
        <v>4527038</v>
      </c>
      <c r="H7" s="258">
        <v>4363886</v>
      </c>
      <c r="I7" s="258">
        <v>4283737</v>
      </c>
      <c r="J7" s="258">
        <v>3968909</v>
      </c>
      <c r="K7" s="258">
        <v>3877137</v>
      </c>
      <c r="L7" s="258">
        <v>3917666</v>
      </c>
      <c r="M7" s="258">
        <v>4055734</v>
      </c>
      <c r="N7" s="258">
        <v>3915841</v>
      </c>
      <c r="O7" s="258">
        <v>3770726</v>
      </c>
      <c r="P7" s="258">
        <v>3915061</v>
      </c>
      <c r="Q7" s="258">
        <v>3787469</v>
      </c>
      <c r="R7" s="258">
        <v>4175255</v>
      </c>
      <c r="S7" s="258">
        <v>3887539</v>
      </c>
      <c r="T7" s="258">
        <v>3242657</v>
      </c>
      <c r="U7" s="258">
        <v>3312273</v>
      </c>
      <c r="V7" s="259">
        <v>3345485</v>
      </c>
      <c r="W7" s="260" t="s">
        <v>318</v>
      </c>
    </row>
    <row r="8" spans="1:26" ht="6.95" customHeight="1" x14ac:dyDescent="0.3">
      <c r="A8" s="257"/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9"/>
      <c r="W8" s="260"/>
    </row>
    <row r="9" spans="1:26" ht="12.75" customHeight="1" x14ac:dyDescent="0.3">
      <c r="A9" s="261" t="s">
        <v>253</v>
      </c>
      <c r="B9" s="258">
        <v>1600834</v>
      </c>
      <c r="C9" s="258">
        <v>1716317</v>
      </c>
      <c r="D9" s="258">
        <v>1899121</v>
      </c>
      <c r="E9" s="258">
        <v>1928716</v>
      </c>
      <c r="F9" s="258">
        <v>1815838</v>
      </c>
      <c r="G9" s="258">
        <v>1740945</v>
      </c>
      <c r="H9" s="258">
        <v>1680197</v>
      </c>
      <c r="I9" s="258">
        <v>1599883</v>
      </c>
      <c r="J9" s="258">
        <v>1552330</v>
      </c>
      <c r="K9" s="258">
        <v>1508640</v>
      </c>
      <c r="L9" s="258">
        <v>1542962</v>
      </c>
      <c r="M9" s="258">
        <v>1590355</v>
      </c>
      <c r="N9" s="258">
        <v>1611525</v>
      </c>
      <c r="O9" s="258">
        <v>1616342</v>
      </c>
      <c r="P9" s="258">
        <v>1726902</v>
      </c>
      <c r="Q9" s="258">
        <v>1781387</v>
      </c>
      <c r="R9" s="258">
        <v>1965020</v>
      </c>
      <c r="S9" s="258">
        <v>1951626</v>
      </c>
      <c r="T9" s="258">
        <v>1754085</v>
      </c>
      <c r="U9" s="258">
        <v>1740302</v>
      </c>
      <c r="V9" s="259">
        <v>1781501</v>
      </c>
      <c r="W9" s="262" t="s">
        <v>253</v>
      </c>
    </row>
    <row r="10" spans="1:26" ht="12.75" customHeight="1" x14ac:dyDescent="0.3">
      <c r="A10" s="261" t="s">
        <v>307</v>
      </c>
      <c r="B10" s="258">
        <v>2867456</v>
      </c>
      <c r="C10" s="258">
        <v>2973921</v>
      </c>
      <c r="D10" s="258">
        <v>3257884</v>
      </c>
      <c r="E10" s="258">
        <v>3032905</v>
      </c>
      <c r="F10" s="258">
        <v>2970690</v>
      </c>
      <c r="G10" s="258">
        <v>2786093</v>
      </c>
      <c r="H10" s="258">
        <v>2683689</v>
      </c>
      <c r="I10" s="258">
        <v>2683854</v>
      </c>
      <c r="J10" s="258">
        <v>2416579</v>
      </c>
      <c r="K10" s="258">
        <v>2368497</v>
      </c>
      <c r="L10" s="258">
        <v>2374704</v>
      </c>
      <c r="M10" s="258">
        <v>2465379</v>
      </c>
      <c r="N10" s="258">
        <v>2304316</v>
      </c>
      <c r="O10" s="258">
        <v>2154384</v>
      </c>
      <c r="P10" s="258">
        <v>2188159</v>
      </c>
      <c r="Q10" s="258">
        <v>2006082</v>
      </c>
      <c r="R10" s="258">
        <v>2210235</v>
      </c>
      <c r="S10" s="258">
        <v>1935913</v>
      </c>
      <c r="T10" s="258">
        <v>1488572</v>
      </c>
      <c r="U10" s="258">
        <v>1571971</v>
      </c>
      <c r="V10" s="259">
        <v>1563984</v>
      </c>
      <c r="W10" s="262" t="s">
        <v>307</v>
      </c>
    </row>
    <row r="11" spans="1:26" ht="12.75" customHeight="1" x14ac:dyDescent="0.3">
      <c r="A11" s="261" t="s">
        <v>254</v>
      </c>
      <c r="B11" s="258">
        <v>669146</v>
      </c>
      <c r="C11" s="258">
        <v>687588</v>
      </c>
      <c r="D11" s="258">
        <v>762540</v>
      </c>
      <c r="E11" s="258">
        <v>752290</v>
      </c>
      <c r="F11" s="258">
        <v>746166</v>
      </c>
      <c r="G11" s="258">
        <v>702460</v>
      </c>
      <c r="H11" s="258">
        <v>680922</v>
      </c>
      <c r="I11" s="258">
        <v>664726</v>
      </c>
      <c r="J11" s="258">
        <v>615860</v>
      </c>
      <c r="K11" s="258">
        <v>602552</v>
      </c>
      <c r="L11" s="258">
        <v>605202</v>
      </c>
      <c r="M11" s="258">
        <v>629596</v>
      </c>
      <c r="N11" s="258">
        <v>612476</v>
      </c>
      <c r="O11" s="258">
        <v>586050</v>
      </c>
      <c r="P11" s="258">
        <v>611812</v>
      </c>
      <c r="Q11" s="258">
        <v>587482</v>
      </c>
      <c r="R11" s="258">
        <v>648718</v>
      </c>
      <c r="S11" s="258">
        <v>609094</v>
      </c>
      <c r="T11" s="258">
        <v>496962</v>
      </c>
      <c r="U11" s="258">
        <v>513688</v>
      </c>
      <c r="V11" s="259">
        <v>525602</v>
      </c>
      <c r="W11" s="262" t="s">
        <v>254</v>
      </c>
    </row>
    <row r="12" spans="1:26" ht="12.75" customHeight="1" x14ac:dyDescent="0.3">
      <c r="A12" s="261" t="s">
        <v>255</v>
      </c>
      <c r="B12" s="258">
        <v>840294</v>
      </c>
      <c r="C12" s="258">
        <v>882822</v>
      </c>
      <c r="D12" s="258">
        <v>961347</v>
      </c>
      <c r="E12" s="258">
        <v>898545</v>
      </c>
      <c r="F12" s="258">
        <v>877083</v>
      </c>
      <c r="G12" s="258">
        <v>824574</v>
      </c>
      <c r="H12" s="258">
        <v>799440</v>
      </c>
      <c r="I12" s="258">
        <v>794403</v>
      </c>
      <c r="J12" s="258">
        <v>722577</v>
      </c>
      <c r="K12" s="258">
        <v>713877</v>
      </c>
      <c r="L12" s="258">
        <v>719061</v>
      </c>
      <c r="M12" s="258">
        <v>747126</v>
      </c>
      <c r="N12" s="258">
        <v>706389</v>
      </c>
      <c r="O12" s="258">
        <v>660768</v>
      </c>
      <c r="P12" s="258">
        <v>675195</v>
      </c>
      <c r="Q12" s="258">
        <v>619890</v>
      </c>
      <c r="R12" s="258">
        <v>678189</v>
      </c>
      <c r="S12" s="258">
        <v>590592</v>
      </c>
      <c r="T12" s="258">
        <v>456645</v>
      </c>
      <c r="U12" s="258">
        <v>498780</v>
      </c>
      <c r="V12" s="259">
        <v>500271</v>
      </c>
      <c r="W12" s="262" t="s">
        <v>255</v>
      </c>
    </row>
    <row r="13" spans="1:26" ht="12.75" customHeight="1" x14ac:dyDescent="0.3">
      <c r="A13" s="261" t="s">
        <v>308</v>
      </c>
      <c r="B13" s="258">
        <v>1358016</v>
      </c>
      <c r="C13" s="258">
        <v>1403511</v>
      </c>
      <c r="D13" s="258">
        <v>1533997</v>
      </c>
      <c r="E13" s="258">
        <v>1382070</v>
      </c>
      <c r="F13" s="258">
        <v>1347441</v>
      </c>
      <c r="G13" s="258">
        <v>1259059</v>
      </c>
      <c r="H13" s="258">
        <v>1203327</v>
      </c>
      <c r="I13" s="258">
        <v>1224725</v>
      </c>
      <c r="J13" s="258">
        <v>1078142</v>
      </c>
      <c r="K13" s="258">
        <v>1052068</v>
      </c>
      <c r="L13" s="258">
        <v>1050441</v>
      </c>
      <c r="M13" s="258">
        <v>1088657</v>
      </c>
      <c r="N13" s="258">
        <v>985451</v>
      </c>
      <c r="O13" s="258">
        <v>907566</v>
      </c>
      <c r="P13" s="258">
        <v>901152</v>
      </c>
      <c r="Q13" s="258">
        <v>798710</v>
      </c>
      <c r="R13" s="258">
        <v>883328</v>
      </c>
      <c r="S13" s="258">
        <v>736227</v>
      </c>
      <c r="T13" s="258">
        <v>534965</v>
      </c>
      <c r="U13" s="258">
        <v>559503</v>
      </c>
      <c r="V13" s="259">
        <v>538111</v>
      </c>
      <c r="W13" s="262" t="s">
        <v>308</v>
      </c>
    </row>
    <row r="14" spans="1:26" ht="6.95" customHeight="1" x14ac:dyDescent="0.3">
      <c r="A14" s="261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9"/>
      <c r="W14" s="262"/>
    </row>
    <row r="15" spans="1:26" ht="12.75" customHeight="1" x14ac:dyDescent="0.3">
      <c r="A15" s="257" t="s">
        <v>319</v>
      </c>
      <c r="B15" s="258">
        <v>4327954</v>
      </c>
      <c r="C15" s="258">
        <v>4561429</v>
      </c>
      <c r="D15" s="258">
        <v>5045305</v>
      </c>
      <c r="E15" s="258">
        <v>4878683</v>
      </c>
      <c r="F15" s="258">
        <v>4734506</v>
      </c>
      <c r="G15" s="258">
        <v>4483051</v>
      </c>
      <c r="H15" s="258">
        <v>4332860</v>
      </c>
      <c r="I15" s="258">
        <v>4292187</v>
      </c>
      <c r="J15" s="258">
        <v>3962009</v>
      </c>
      <c r="K15" s="258">
        <v>3881521</v>
      </c>
      <c r="L15" s="258">
        <v>3938777</v>
      </c>
      <c r="M15" s="258">
        <v>4088684</v>
      </c>
      <c r="N15" s="258">
        <v>3916704</v>
      </c>
      <c r="O15" s="258">
        <v>3754720</v>
      </c>
      <c r="P15" s="258">
        <v>3855264</v>
      </c>
      <c r="Q15" s="258">
        <v>3704728</v>
      </c>
      <c r="R15" s="258">
        <v>4087480</v>
      </c>
      <c r="S15" s="258">
        <v>3831842</v>
      </c>
      <c r="T15" s="258">
        <v>3206014</v>
      </c>
      <c r="U15" s="258">
        <v>3265404</v>
      </c>
      <c r="V15" s="259">
        <v>3300316</v>
      </c>
      <c r="W15" s="260" t="s">
        <v>319</v>
      </c>
    </row>
    <row r="16" spans="1:26" ht="6.95" customHeight="1" x14ac:dyDescent="0.3">
      <c r="A16" s="257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9"/>
      <c r="W16" s="260"/>
    </row>
    <row r="17" spans="1:23" ht="12.75" customHeight="1" x14ac:dyDescent="0.3">
      <c r="A17" s="261" t="s">
        <v>253</v>
      </c>
      <c r="B17" s="258">
        <v>1513441</v>
      </c>
      <c r="C17" s="258">
        <v>1620364</v>
      </c>
      <c r="D17" s="258">
        <v>1804681</v>
      </c>
      <c r="E17" s="258">
        <v>1850614</v>
      </c>
      <c r="F17" s="258">
        <v>1759693</v>
      </c>
      <c r="G17" s="258">
        <v>1694340</v>
      </c>
      <c r="H17" s="258">
        <v>1639852</v>
      </c>
      <c r="I17" s="258">
        <v>1575975</v>
      </c>
      <c r="J17" s="258">
        <v>1517784</v>
      </c>
      <c r="K17" s="258">
        <v>1482787</v>
      </c>
      <c r="L17" s="258">
        <v>1521840</v>
      </c>
      <c r="M17" s="258">
        <v>1572264</v>
      </c>
      <c r="N17" s="258">
        <v>1574941</v>
      </c>
      <c r="O17" s="258">
        <v>1575380</v>
      </c>
      <c r="P17" s="258">
        <v>1659677</v>
      </c>
      <c r="Q17" s="258">
        <v>1702571</v>
      </c>
      <c r="R17" s="258">
        <v>1878918</v>
      </c>
      <c r="S17" s="258">
        <v>1885048</v>
      </c>
      <c r="T17" s="258">
        <v>1701656</v>
      </c>
      <c r="U17" s="258">
        <v>1690606</v>
      </c>
      <c r="V17" s="259">
        <v>1731667</v>
      </c>
      <c r="W17" s="262" t="s">
        <v>253</v>
      </c>
    </row>
    <row r="18" spans="1:23" ht="12.75" customHeight="1" x14ac:dyDescent="0.3">
      <c r="A18" s="261" t="s">
        <v>307</v>
      </c>
      <c r="B18" s="258">
        <v>2814513</v>
      </c>
      <c r="C18" s="258">
        <v>2941065</v>
      </c>
      <c r="D18" s="258">
        <v>3240624</v>
      </c>
      <c r="E18" s="258">
        <v>3028069</v>
      </c>
      <c r="F18" s="258">
        <v>2974813</v>
      </c>
      <c r="G18" s="258">
        <v>2788711</v>
      </c>
      <c r="H18" s="258">
        <v>2693008</v>
      </c>
      <c r="I18" s="258">
        <v>2716212</v>
      </c>
      <c r="J18" s="258">
        <v>2444225</v>
      </c>
      <c r="K18" s="258">
        <v>2398734</v>
      </c>
      <c r="L18" s="258">
        <v>2416937</v>
      </c>
      <c r="M18" s="258">
        <v>2516420</v>
      </c>
      <c r="N18" s="258">
        <v>2341763</v>
      </c>
      <c r="O18" s="258">
        <v>2179340</v>
      </c>
      <c r="P18" s="258">
        <v>2195587</v>
      </c>
      <c r="Q18" s="258">
        <v>2002157</v>
      </c>
      <c r="R18" s="258">
        <v>2208562</v>
      </c>
      <c r="S18" s="258">
        <v>1946794</v>
      </c>
      <c r="T18" s="258">
        <v>1504358</v>
      </c>
      <c r="U18" s="258">
        <v>1574798</v>
      </c>
      <c r="V18" s="259">
        <v>1568649</v>
      </c>
      <c r="W18" s="262" t="s">
        <v>307</v>
      </c>
    </row>
    <row r="19" spans="1:23" ht="12.75" customHeight="1" x14ac:dyDescent="0.3">
      <c r="A19" s="261" t="s">
        <v>254</v>
      </c>
      <c r="B19" s="258">
        <v>651298</v>
      </c>
      <c r="C19" s="258">
        <v>678466</v>
      </c>
      <c r="D19" s="258">
        <v>755364</v>
      </c>
      <c r="E19" s="258">
        <v>749600</v>
      </c>
      <c r="F19" s="258">
        <v>745976</v>
      </c>
      <c r="G19" s="258">
        <v>703102</v>
      </c>
      <c r="H19" s="258">
        <v>683276</v>
      </c>
      <c r="I19" s="258">
        <v>675360</v>
      </c>
      <c r="J19" s="258">
        <v>623438</v>
      </c>
      <c r="K19" s="258">
        <v>612376</v>
      </c>
      <c r="L19" s="258">
        <v>617690</v>
      </c>
      <c r="M19" s="258">
        <v>644256</v>
      </c>
      <c r="N19" s="258">
        <v>623474</v>
      </c>
      <c r="O19" s="258">
        <v>594910</v>
      </c>
      <c r="P19" s="258">
        <v>614900</v>
      </c>
      <c r="Q19" s="258">
        <v>587342</v>
      </c>
      <c r="R19" s="258">
        <v>649656</v>
      </c>
      <c r="S19" s="258">
        <v>615708</v>
      </c>
      <c r="T19" s="258">
        <v>505950</v>
      </c>
      <c r="U19" s="258">
        <v>517364</v>
      </c>
      <c r="V19" s="259">
        <v>529804</v>
      </c>
      <c r="W19" s="262" t="s">
        <v>254</v>
      </c>
    </row>
    <row r="20" spans="1:23" ht="12.75" customHeight="1" x14ac:dyDescent="0.3">
      <c r="A20" s="261" t="s">
        <v>255</v>
      </c>
      <c r="B20" s="258">
        <v>827229</v>
      </c>
      <c r="C20" s="258">
        <v>875370</v>
      </c>
      <c r="D20" s="258">
        <v>958398</v>
      </c>
      <c r="E20" s="258">
        <v>899094</v>
      </c>
      <c r="F20" s="258">
        <v>880293</v>
      </c>
      <c r="G20" s="258">
        <v>826818</v>
      </c>
      <c r="H20" s="258">
        <v>804495</v>
      </c>
      <c r="I20" s="258">
        <v>805278</v>
      </c>
      <c r="J20" s="258">
        <v>732372</v>
      </c>
      <c r="K20" s="258">
        <v>724266</v>
      </c>
      <c r="L20" s="258">
        <v>732663</v>
      </c>
      <c r="M20" s="258">
        <v>764559</v>
      </c>
      <c r="N20" s="258">
        <v>718857</v>
      </c>
      <c r="O20" s="258">
        <v>669429</v>
      </c>
      <c r="P20" s="258">
        <v>677514</v>
      </c>
      <c r="Q20" s="258">
        <v>618798</v>
      </c>
      <c r="R20" s="258">
        <v>679113</v>
      </c>
      <c r="S20" s="258">
        <v>594093</v>
      </c>
      <c r="T20" s="258">
        <v>460755</v>
      </c>
      <c r="U20" s="258">
        <v>499104</v>
      </c>
      <c r="V20" s="259">
        <v>500904</v>
      </c>
      <c r="W20" s="262" t="s">
        <v>255</v>
      </c>
    </row>
    <row r="21" spans="1:23" ht="12.75" customHeight="1" x14ac:dyDescent="0.3">
      <c r="A21" s="261" t="s">
        <v>308</v>
      </c>
      <c r="B21" s="258">
        <v>1335986</v>
      </c>
      <c r="C21" s="258">
        <v>1387229</v>
      </c>
      <c r="D21" s="258">
        <v>1526862</v>
      </c>
      <c r="E21" s="258">
        <v>1379375</v>
      </c>
      <c r="F21" s="258">
        <v>1348544</v>
      </c>
      <c r="G21" s="258">
        <v>1258791</v>
      </c>
      <c r="H21" s="258">
        <v>1205237</v>
      </c>
      <c r="I21" s="258">
        <v>1235574</v>
      </c>
      <c r="J21" s="258">
        <v>1088415</v>
      </c>
      <c r="K21" s="258">
        <v>1062092</v>
      </c>
      <c r="L21" s="258">
        <v>1066584</v>
      </c>
      <c r="M21" s="258">
        <v>1107605</v>
      </c>
      <c r="N21" s="258">
        <v>999432</v>
      </c>
      <c r="O21" s="258">
        <v>915001</v>
      </c>
      <c r="P21" s="258">
        <v>903173</v>
      </c>
      <c r="Q21" s="258">
        <v>796017</v>
      </c>
      <c r="R21" s="258">
        <v>879793</v>
      </c>
      <c r="S21" s="258">
        <v>736993</v>
      </c>
      <c r="T21" s="258">
        <v>537653</v>
      </c>
      <c r="U21" s="258">
        <v>558330</v>
      </c>
      <c r="V21" s="259">
        <v>537941</v>
      </c>
      <c r="W21" s="262" t="s">
        <v>308</v>
      </c>
    </row>
    <row r="22" spans="1:23" ht="6.95" customHeight="1" x14ac:dyDescent="0.3">
      <c r="A22" s="261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9"/>
      <c r="W22" s="262"/>
    </row>
    <row r="23" spans="1:23" ht="12.75" customHeight="1" x14ac:dyDescent="0.3">
      <c r="A23" s="257" t="s">
        <v>320</v>
      </c>
      <c r="B23" s="258">
        <v>3879768</v>
      </c>
      <c r="C23" s="258">
        <v>4115717</v>
      </c>
      <c r="D23" s="258">
        <v>4570565</v>
      </c>
      <c r="E23" s="258">
        <v>4383091</v>
      </c>
      <c r="F23" s="258">
        <v>4250341</v>
      </c>
      <c r="G23" s="258">
        <v>4002038</v>
      </c>
      <c r="H23" s="258">
        <v>3856337</v>
      </c>
      <c r="I23" s="258">
        <v>3803252</v>
      </c>
      <c r="J23" s="258">
        <v>3493867</v>
      </c>
      <c r="K23" s="258">
        <v>3430465</v>
      </c>
      <c r="L23" s="258">
        <v>3466005</v>
      </c>
      <c r="M23" s="258">
        <v>3605660</v>
      </c>
      <c r="N23" s="258">
        <v>3467775</v>
      </c>
      <c r="O23" s="258">
        <v>3323917</v>
      </c>
      <c r="P23" s="258">
        <v>3445111</v>
      </c>
      <c r="Q23" s="258">
        <v>3311920</v>
      </c>
      <c r="R23" s="258">
        <v>3680532</v>
      </c>
      <c r="S23" s="258">
        <v>3416908</v>
      </c>
      <c r="T23" s="258">
        <v>2819937</v>
      </c>
      <c r="U23" s="258">
        <v>2897328</v>
      </c>
      <c r="V23" s="259">
        <v>2927466</v>
      </c>
      <c r="W23" s="260" t="s">
        <v>320</v>
      </c>
    </row>
    <row r="24" spans="1:23" ht="6.95" customHeight="1" x14ac:dyDescent="0.3">
      <c r="A24" s="257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9"/>
      <c r="W24" s="260"/>
    </row>
    <row r="25" spans="1:23" ht="12.75" customHeight="1" x14ac:dyDescent="0.3">
      <c r="A25" s="261" t="s">
        <v>253</v>
      </c>
      <c r="B25" s="258">
        <v>1259830</v>
      </c>
      <c r="C25" s="258">
        <v>1365232</v>
      </c>
      <c r="D25" s="258">
        <v>1530378</v>
      </c>
      <c r="E25" s="258">
        <v>1556193</v>
      </c>
      <c r="F25" s="258">
        <v>1474224</v>
      </c>
      <c r="G25" s="258">
        <v>1405714</v>
      </c>
      <c r="H25" s="258">
        <v>1355374</v>
      </c>
      <c r="I25" s="258">
        <v>1290065</v>
      </c>
      <c r="J25" s="258">
        <v>1238746</v>
      </c>
      <c r="K25" s="258">
        <v>1212773</v>
      </c>
      <c r="L25" s="258">
        <v>1237728</v>
      </c>
      <c r="M25" s="258">
        <v>1280426</v>
      </c>
      <c r="N25" s="258">
        <v>1295534</v>
      </c>
      <c r="O25" s="258">
        <v>1299764</v>
      </c>
      <c r="P25" s="258">
        <v>1389897</v>
      </c>
      <c r="Q25" s="258">
        <v>1433194</v>
      </c>
      <c r="R25" s="258">
        <v>1597735</v>
      </c>
      <c r="S25" s="258">
        <v>1593649</v>
      </c>
      <c r="T25" s="258">
        <v>1426043</v>
      </c>
      <c r="U25" s="258">
        <v>1421697</v>
      </c>
      <c r="V25" s="259">
        <v>1455831</v>
      </c>
      <c r="W25" s="262" t="s">
        <v>253</v>
      </c>
    </row>
    <row r="26" spans="1:23" ht="12.75" customHeight="1" x14ac:dyDescent="0.3">
      <c r="A26" s="261" t="s">
        <v>307</v>
      </c>
      <c r="B26" s="258">
        <v>2619938</v>
      </c>
      <c r="C26" s="258">
        <v>2750485</v>
      </c>
      <c r="D26" s="258">
        <v>3040187</v>
      </c>
      <c r="E26" s="258">
        <v>2826898</v>
      </c>
      <c r="F26" s="258">
        <v>2776117</v>
      </c>
      <c r="G26" s="258">
        <v>2596324</v>
      </c>
      <c r="H26" s="258">
        <v>2500963</v>
      </c>
      <c r="I26" s="258">
        <v>2513187</v>
      </c>
      <c r="J26" s="258">
        <v>2255121</v>
      </c>
      <c r="K26" s="258">
        <v>2217692</v>
      </c>
      <c r="L26" s="258">
        <v>2228277</v>
      </c>
      <c r="M26" s="258">
        <v>2325234</v>
      </c>
      <c r="N26" s="258">
        <v>2172241</v>
      </c>
      <c r="O26" s="258">
        <v>2024153</v>
      </c>
      <c r="P26" s="258">
        <v>2055214</v>
      </c>
      <c r="Q26" s="258">
        <v>1878726</v>
      </c>
      <c r="R26" s="258">
        <v>2082797</v>
      </c>
      <c r="S26" s="258">
        <v>1823259</v>
      </c>
      <c r="T26" s="258">
        <v>1393894</v>
      </c>
      <c r="U26" s="258">
        <v>1475631</v>
      </c>
      <c r="V26" s="259">
        <v>1471635</v>
      </c>
      <c r="W26" s="262" t="s">
        <v>307</v>
      </c>
    </row>
    <row r="27" spans="1:23" ht="12.75" customHeight="1" x14ac:dyDescent="0.3">
      <c r="A27" s="261" t="s">
        <v>254</v>
      </c>
      <c r="B27" s="258">
        <v>589246</v>
      </c>
      <c r="C27" s="258">
        <v>617300</v>
      </c>
      <c r="D27" s="258">
        <v>689858</v>
      </c>
      <c r="E27" s="258">
        <v>680110</v>
      </c>
      <c r="F27" s="258">
        <v>677818</v>
      </c>
      <c r="G27" s="258">
        <v>636234</v>
      </c>
      <c r="H27" s="258">
        <v>617968</v>
      </c>
      <c r="I27" s="258">
        <v>606260</v>
      </c>
      <c r="J27" s="258">
        <v>558564</v>
      </c>
      <c r="K27" s="258">
        <v>549060</v>
      </c>
      <c r="L27" s="258">
        <v>552716</v>
      </c>
      <c r="M27" s="258">
        <v>578226</v>
      </c>
      <c r="N27" s="258">
        <v>561930</v>
      </c>
      <c r="O27" s="258">
        <v>536728</v>
      </c>
      <c r="P27" s="258">
        <v>560168</v>
      </c>
      <c r="Q27" s="258">
        <v>537644</v>
      </c>
      <c r="R27" s="258">
        <v>597614</v>
      </c>
      <c r="S27" s="258">
        <v>561008</v>
      </c>
      <c r="T27" s="258">
        <v>456260</v>
      </c>
      <c r="U27" s="258">
        <v>472134</v>
      </c>
      <c r="V27" s="259">
        <v>484676</v>
      </c>
      <c r="W27" s="262" t="s">
        <v>254</v>
      </c>
    </row>
    <row r="28" spans="1:23" ht="12.75" customHeight="1" x14ac:dyDescent="0.3">
      <c r="A28" s="261" t="s">
        <v>255</v>
      </c>
      <c r="B28" s="258">
        <v>766689</v>
      </c>
      <c r="C28" s="258">
        <v>817029</v>
      </c>
      <c r="D28" s="258">
        <v>898437</v>
      </c>
      <c r="E28" s="258">
        <v>839742</v>
      </c>
      <c r="F28" s="258">
        <v>821685</v>
      </c>
      <c r="G28" s="258">
        <v>770175</v>
      </c>
      <c r="H28" s="258">
        <v>748098</v>
      </c>
      <c r="I28" s="258">
        <v>746181</v>
      </c>
      <c r="J28" s="258">
        <v>677682</v>
      </c>
      <c r="K28" s="258">
        <v>671385</v>
      </c>
      <c r="L28" s="258">
        <v>678096</v>
      </c>
      <c r="M28" s="258">
        <v>708711</v>
      </c>
      <c r="N28" s="258">
        <v>669324</v>
      </c>
      <c r="O28" s="258">
        <v>624066</v>
      </c>
      <c r="P28" s="258">
        <v>637716</v>
      </c>
      <c r="Q28" s="258">
        <v>583830</v>
      </c>
      <c r="R28" s="258">
        <v>643128</v>
      </c>
      <c r="S28" s="258">
        <v>559728</v>
      </c>
      <c r="T28" s="258">
        <v>429990</v>
      </c>
      <c r="U28" s="258">
        <v>471387</v>
      </c>
      <c r="V28" s="259">
        <v>474402</v>
      </c>
      <c r="W28" s="262" t="s">
        <v>255</v>
      </c>
    </row>
    <row r="29" spans="1:23" ht="12.75" customHeight="1" x14ac:dyDescent="0.3">
      <c r="A29" s="261" t="s">
        <v>308</v>
      </c>
      <c r="B29" s="258">
        <v>1264003</v>
      </c>
      <c r="C29" s="258">
        <v>1316156</v>
      </c>
      <c r="D29" s="258">
        <v>1451892</v>
      </c>
      <c r="E29" s="258">
        <v>1307046</v>
      </c>
      <c r="F29" s="258">
        <v>1276614</v>
      </c>
      <c r="G29" s="258">
        <v>1189915</v>
      </c>
      <c r="H29" s="258">
        <v>1134897</v>
      </c>
      <c r="I29" s="258">
        <v>1160746</v>
      </c>
      <c r="J29" s="258">
        <v>1018875</v>
      </c>
      <c r="K29" s="258">
        <v>997247</v>
      </c>
      <c r="L29" s="258">
        <v>997465</v>
      </c>
      <c r="M29" s="258">
        <v>1038297</v>
      </c>
      <c r="N29" s="258">
        <v>940987</v>
      </c>
      <c r="O29" s="258">
        <v>863359</v>
      </c>
      <c r="P29" s="258">
        <v>857330</v>
      </c>
      <c r="Q29" s="258">
        <v>757252</v>
      </c>
      <c r="R29" s="258">
        <v>842055</v>
      </c>
      <c r="S29" s="258">
        <v>702523</v>
      </c>
      <c r="T29" s="258">
        <v>507644</v>
      </c>
      <c r="U29" s="258">
        <v>532110</v>
      </c>
      <c r="V29" s="259">
        <v>512557</v>
      </c>
      <c r="W29" s="262" t="s">
        <v>308</v>
      </c>
    </row>
    <row r="30" spans="1:23" ht="6.95" customHeight="1" x14ac:dyDescent="0.3">
      <c r="A30" s="261"/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9"/>
      <c r="W30" s="262"/>
    </row>
    <row r="31" spans="1:23" ht="12.75" customHeight="1" x14ac:dyDescent="0.3">
      <c r="A31" s="257" t="s">
        <v>256</v>
      </c>
      <c r="B31" s="258">
        <v>588522</v>
      </c>
      <c r="C31" s="258">
        <v>574521</v>
      </c>
      <c r="D31" s="258">
        <v>586440</v>
      </c>
      <c r="E31" s="258">
        <v>578530</v>
      </c>
      <c r="F31" s="258">
        <v>536187</v>
      </c>
      <c r="G31" s="258">
        <v>525000</v>
      </c>
      <c r="H31" s="258">
        <v>507549</v>
      </c>
      <c r="I31" s="258">
        <v>480485</v>
      </c>
      <c r="J31" s="258">
        <v>475042</v>
      </c>
      <c r="K31" s="258">
        <v>446672</v>
      </c>
      <c r="L31" s="258">
        <v>451661</v>
      </c>
      <c r="M31" s="258">
        <v>450074</v>
      </c>
      <c r="N31" s="258">
        <v>448066</v>
      </c>
      <c r="O31" s="258">
        <v>446809</v>
      </c>
      <c r="P31" s="258">
        <v>469950</v>
      </c>
      <c r="Q31" s="258">
        <v>475549</v>
      </c>
      <c r="R31" s="258">
        <v>494723</v>
      </c>
      <c r="S31" s="258">
        <v>470631</v>
      </c>
      <c r="T31" s="258">
        <v>422720</v>
      </c>
      <c r="U31" s="258">
        <v>414945</v>
      </c>
      <c r="V31" s="259">
        <v>418019</v>
      </c>
      <c r="W31" s="260" t="s">
        <v>256</v>
      </c>
    </row>
    <row r="32" spans="1:23" ht="6.95" customHeight="1" x14ac:dyDescent="0.3">
      <c r="A32" s="257"/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9"/>
      <c r="W32" s="260"/>
    </row>
    <row r="33" spans="1:26" ht="12.75" customHeight="1" x14ac:dyDescent="0.3">
      <c r="A33" s="261" t="s">
        <v>253</v>
      </c>
      <c r="B33" s="258">
        <v>341004</v>
      </c>
      <c r="C33" s="258">
        <v>351085</v>
      </c>
      <c r="D33" s="258">
        <v>368743</v>
      </c>
      <c r="E33" s="258">
        <v>372523</v>
      </c>
      <c r="F33" s="258">
        <v>341614</v>
      </c>
      <c r="G33" s="258">
        <v>335231</v>
      </c>
      <c r="H33" s="258">
        <v>324823</v>
      </c>
      <c r="I33" s="258">
        <v>309818</v>
      </c>
      <c r="J33" s="258">
        <v>313584</v>
      </c>
      <c r="K33" s="258">
        <v>295867</v>
      </c>
      <c r="L33" s="258">
        <v>305234</v>
      </c>
      <c r="M33" s="258">
        <v>309929</v>
      </c>
      <c r="N33" s="258">
        <v>315991</v>
      </c>
      <c r="O33" s="258">
        <v>316578</v>
      </c>
      <c r="P33" s="258">
        <v>337005</v>
      </c>
      <c r="Q33" s="258">
        <v>348193</v>
      </c>
      <c r="R33" s="258">
        <v>367285</v>
      </c>
      <c r="S33" s="258">
        <v>357977</v>
      </c>
      <c r="T33" s="258">
        <v>328042</v>
      </c>
      <c r="U33" s="258">
        <v>318605</v>
      </c>
      <c r="V33" s="259">
        <v>325670</v>
      </c>
      <c r="W33" s="262" t="s">
        <v>253</v>
      </c>
    </row>
    <row r="34" spans="1:26" ht="12.75" customHeight="1" x14ac:dyDescent="0.3">
      <c r="A34" s="261" t="s">
        <v>307</v>
      </c>
      <c r="B34" s="258">
        <v>247518</v>
      </c>
      <c r="C34" s="258">
        <v>223436</v>
      </c>
      <c r="D34" s="258">
        <v>217697</v>
      </c>
      <c r="E34" s="258">
        <v>206007</v>
      </c>
      <c r="F34" s="258">
        <v>194573</v>
      </c>
      <c r="G34" s="258">
        <v>189769</v>
      </c>
      <c r="H34" s="258">
        <v>182726</v>
      </c>
      <c r="I34" s="258">
        <v>170667</v>
      </c>
      <c r="J34" s="258">
        <v>161458</v>
      </c>
      <c r="K34" s="258">
        <v>150805</v>
      </c>
      <c r="L34" s="258">
        <v>146427</v>
      </c>
      <c r="M34" s="258">
        <v>140145</v>
      </c>
      <c r="N34" s="258">
        <v>132075</v>
      </c>
      <c r="O34" s="258">
        <v>130231</v>
      </c>
      <c r="P34" s="258">
        <v>132945</v>
      </c>
      <c r="Q34" s="258">
        <v>127356</v>
      </c>
      <c r="R34" s="258">
        <v>127438</v>
      </c>
      <c r="S34" s="258">
        <v>112654</v>
      </c>
      <c r="T34" s="258">
        <v>94678</v>
      </c>
      <c r="U34" s="258">
        <v>96340</v>
      </c>
      <c r="V34" s="259">
        <v>92349</v>
      </c>
      <c r="W34" s="262" t="s">
        <v>307</v>
      </c>
    </row>
    <row r="35" spans="1:26" ht="12.75" customHeight="1" x14ac:dyDescent="0.3">
      <c r="A35" s="261" t="s">
        <v>254</v>
      </c>
      <c r="B35" s="258">
        <v>79900</v>
      </c>
      <c r="C35" s="258">
        <v>70288</v>
      </c>
      <c r="D35" s="258">
        <v>72682</v>
      </c>
      <c r="E35" s="258">
        <v>72180</v>
      </c>
      <c r="F35" s="258">
        <v>68348</v>
      </c>
      <c r="G35" s="258">
        <v>66226</v>
      </c>
      <c r="H35" s="258">
        <v>62954</v>
      </c>
      <c r="I35" s="258">
        <v>58466</v>
      </c>
      <c r="J35" s="258">
        <v>57296</v>
      </c>
      <c r="K35" s="258">
        <v>53492</v>
      </c>
      <c r="L35" s="258">
        <v>52486</v>
      </c>
      <c r="M35" s="258">
        <v>51370</v>
      </c>
      <c r="N35" s="258">
        <v>50546</v>
      </c>
      <c r="O35" s="258">
        <v>49322</v>
      </c>
      <c r="P35" s="258">
        <v>51644</v>
      </c>
      <c r="Q35" s="258">
        <v>49838</v>
      </c>
      <c r="R35" s="258">
        <v>51104</v>
      </c>
      <c r="S35" s="258">
        <v>48086</v>
      </c>
      <c r="T35" s="258">
        <v>40702</v>
      </c>
      <c r="U35" s="258">
        <v>41554</v>
      </c>
      <c r="V35" s="259">
        <v>40926</v>
      </c>
      <c r="W35" s="262" t="s">
        <v>254</v>
      </c>
    </row>
    <row r="36" spans="1:26" ht="12.75" customHeight="1" x14ac:dyDescent="0.3">
      <c r="A36" s="261" t="s">
        <v>255</v>
      </c>
      <c r="B36" s="258">
        <v>73605</v>
      </c>
      <c r="C36" s="258">
        <v>65793</v>
      </c>
      <c r="D36" s="258">
        <v>62910</v>
      </c>
      <c r="E36" s="258">
        <v>58803</v>
      </c>
      <c r="F36" s="258">
        <v>55398</v>
      </c>
      <c r="G36" s="258">
        <v>54399</v>
      </c>
      <c r="H36" s="258">
        <v>51342</v>
      </c>
      <c r="I36" s="258">
        <v>48222</v>
      </c>
      <c r="J36" s="258">
        <v>44895</v>
      </c>
      <c r="K36" s="258">
        <v>42492</v>
      </c>
      <c r="L36" s="258">
        <v>40965</v>
      </c>
      <c r="M36" s="258">
        <v>38415</v>
      </c>
      <c r="N36" s="258">
        <v>37065</v>
      </c>
      <c r="O36" s="258">
        <v>36702</v>
      </c>
      <c r="P36" s="258">
        <v>37479</v>
      </c>
      <c r="Q36" s="258">
        <v>36060</v>
      </c>
      <c r="R36" s="258">
        <v>35061</v>
      </c>
      <c r="S36" s="258">
        <v>30864</v>
      </c>
      <c r="T36" s="258">
        <v>26655</v>
      </c>
      <c r="U36" s="258">
        <v>27393</v>
      </c>
      <c r="V36" s="259">
        <v>25869</v>
      </c>
      <c r="W36" s="262" t="s">
        <v>255</v>
      </c>
    </row>
    <row r="37" spans="1:26" ht="12.75" customHeight="1" x14ac:dyDescent="0.3">
      <c r="A37" s="261" t="s">
        <v>308</v>
      </c>
      <c r="B37" s="258">
        <v>94013</v>
      </c>
      <c r="C37" s="258">
        <v>87355</v>
      </c>
      <c r="D37" s="258">
        <v>82105</v>
      </c>
      <c r="E37" s="258">
        <v>75024</v>
      </c>
      <c r="F37" s="258">
        <v>70827</v>
      </c>
      <c r="G37" s="258">
        <v>69144</v>
      </c>
      <c r="H37" s="258">
        <v>68430</v>
      </c>
      <c r="I37" s="258">
        <v>63979</v>
      </c>
      <c r="J37" s="258">
        <v>59267</v>
      </c>
      <c r="K37" s="258">
        <v>54821</v>
      </c>
      <c r="L37" s="258">
        <v>52976</v>
      </c>
      <c r="M37" s="258">
        <v>50360</v>
      </c>
      <c r="N37" s="258">
        <v>44464</v>
      </c>
      <c r="O37" s="258">
        <v>44207</v>
      </c>
      <c r="P37" s="258">
        <v>43822</v>
      </c>
      <c r="Q37" s="258">
        <v>41458</v>
      </c>
      <c r="R37" s="258">
        <v>41273</v>
      </c>
      <c r="S37" s="258">
        <v>33704</v>
      </c>
      <c r="T37" s="258">
        <v>27321</v>
      </c>
      <c r="U37" s="258">
        <v>27393</v>
      </c>
      <c r="V37" s="259">
        <v>25554</v>
      </c>
      <c r="W37" s="262" t="s">
        <v>308</v>
      </c>
    </row>
    <row r="38" spans="1:26" ht="6.95" customHeight="1" x14ac:dyDescent="0.3">
      <c r="A38" s="261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9"/>
      <c r="W38" s="262"/>
    </row>
    <row r="39" spans="1:26" ht="12.75" customHeight="1" x14ac:dyDescent="0.3">
      <c r="A39" s="257" t="s">
        <v>257</v>
      </c>
      <c r="B39" s="258">
        <v>448186</v>
      </c>
      <c r="C39" s="258">
        <v>445712</v>
      </c>
      <c r="D39" s="258">
        <v>474740</v>
      </c>
      <c r="E39" s="258">
        <v>495592</v>
      </c>
      <c r="F39" s="258">
        <v>484165</v>
      </c>
      <c r="G39" s="258">
        <v>481013</v>
      </c>
      <c r="H39" s="258">
        <v>476523</v>
      </c>
      <c r="I39" s="258">
        <v>488935</v>
      </c>
      <c r="J39" s="258">
        <v>468142</v>
      </c>
      <c r="K39" s="258">
        <v>451056</v>
      </c>
      <c r="L39" s="258">
        <v>472772</v>
      </c>
      <c r="M39" s="258">
        <v>483024</v>
      </c>
      <c r="N39" s="258">
        <v>448929</v>
      </c>
      <c r="O39" s="258">
        <v>430803</v>
      </c>
      <c r="P39" s="258">
        <v>410153</v>
      </c>
      <c r="Q39" s="258">
        <v>392808</v>
      </c>
      <c r="R39" s="258">
        <v>406948</v>
      </c>
      <c r="S39" s="258">
        <v>414934</v>
      </c>
      <c r="T39" s="258">
        <v>386077</v>
      </c>
      <c r="U39" s="258">
        <v>368076</v>
      </c>
      <c r="V39" s="259">
        <v>372850</v>
      </c>
      <c r="W39" s="260" t="s">
        <v>257</v>
      </c>
    </row>
    <row r="40" spans="1:26" ht="6.95" customHeight="1" x14ac:dyDescent="0.3">
      <c r="A40" s="257"/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9"/>
      <c r="W40" s="260"/>
    </row>
    <row r="41" spans="1:26" ht="12.75" customHeight="1" x14ac:dyDescent="0.3">
      <c r="A41" s="261" t="s">
        <v>253</v>
      </c>
      <c r="B41" s="258">
        <v>253611</v>
      </c>
      <c r="C41" s="258">
        <v>255132</v>
      </c>
      <c r="D41" s="258">
        <v>274303</v>
      </c>
      <c r="E41" s="258">
        <v>294421</v>
      </c>
      <c r="F41" s="258">
        <v>285469</v>
      </c>
      <c r="G41" s="258">
        <v>288626</v>
      </c>
      <c r="H41" s="258">
        <v>284478</v>
      </c>
      <c r="I41" s="258">
        <v>285910</v>
      </c>
      <c r="J41" s="258">
        <v>279038</v>
      </c>
      <c r="K41" s="258">
        <v>270014</v>
      </c>
      <c r="L41" s="258">
        <v>284112</v>
      </c>
      <c r="M41" s="258">
        <v>291838</v>
      </c>
      <c r="N41" s="258">
        <v>279407</v>
      </c>
      <c r="O41" s="258">
        <v>275616</v>
      </c>
      <c r="P41" s="258">
        <v>269780</v>
      </c>
      <c r="Q41" s="258">
        <v>269377</v>
      </c>
      <c r="R41" s="258">
        <v>281183</v>
      </c>
      <c r="S41" s="258">
        <v>291399</v>
      </c>
      <c r="T41" s="258">
        <v>275613</v>
      </c>
      <c r="U41" s="258">
        <v>268909</v>
      </c>
      <c r="V41" s="259">
        <v>275836</v>
      </c>
      <c r="W41" s="262" t="s">
        <v>253</v>
      </c>
    </row>
    <row r="42" spans="1:26" ht="12.75" customHeight="1" x14ac:dyDescent="0.3">
      <c r="A42" s="261" t="s">
        <v>307</v>
      </c>
      <c r="B42" s="258">
        <v>194575</v>
      </c>
      <c r="C42" s="258">
        <v>190580</v>
      </c>
      <c r="D42" s="258">
        <v>200437</v>
      </c>
      <c r="E42" s="258">
        <v>201171</v>
      </c>
      <c r="F42" s="258">
        <v>198696</v>
      </c>
      <c r="G42" s="258">
        <v>192387</v>
      </c>
      <c r="H42" s="258">
        <v>192045</v>
      </c>
      <c r="I42" s="258">
        <v>203025</v>
      </c>
      <c r="J42" s="258">
        <v>189104</v>
      </c>
      <c r="K42" s="258">
        <v>181042</v>
      </c>
      <c r="L42" s="258">
        <v>188660</v>
      </c>
      <c r="M42" s="258">
        <v>191186</v>
      </c>
      <c r="N42" s="258">
        <v>169522</v>
      </c>
      <c r="O42" s="258">
        <v>155187</v>
      </c>
      <c r="P42" s="258">
        <v>140373</v>
      </c>
      <c r="Q42" s="258">
        <v>123431</v>
      </c>
      <c r="R42" s="258">
        <v>125765</v>
      </c>
      <c r="S42" s="258">
        <v>123535</v>
      </c>
      <c r="T42" s="258">
        <v>110464</v>
      </c>
      <c r="U42" s="258">
        <v>99167</v>
      </c>
      <c r="V42" s="259">
        <v>97014</v>
      </c>
      <c r="W42" s="262" t="s">
        <v>307</v>
      </c>
    </row>
    <row r="43" spans="1:26" ht="12.75" customHeight="1" x14ac:dyDescent="0.3">
      <c r="A43" s="261" t="s">
        <v>254</v>
      </c>
      <c r="B43" s="258">
        <v>62052</v>
      </c>
      <c r="C43" s="258">
        <v>61166</v>
      </c>
      <c r="D43" s="258">
        <v>65506</v>
      </c>
      <c r="E43" s="258">
        <v>69490</v>
      </c>
      <c r="F43" s="258">
        <v>68158</v>
      </c>
      <c r="G43" s="258">
        <v>66868</v>
      </c>
      <c r="H43" s="258">
        <v>65308</v>
      </c>
      <c r="I43" s="258">
        <v>69100</v>
      </c>
      <c r="J43" s="258">
        <v>64874</v>
      </c>
      <c r="K43" s="258">
        <v>63316</v>
      </c>
      <c r="L43" s="258">
        <v>64974</v>
      </c>
      <c r="M43" s="258">
        <v>66030</v>
      </c>
      <c r="N43" s="258">
        <v>61544</v>
      </c>
      <c r="O43" s="258">
        <v>58182</v>
      </c>
      <c r="P43" s="258">
        <v>54732</v>
      </c>
      <c r="Q43" s="258">
        <v>49698</v>
      </c>
      <c r="R43" s="258">
        <v>52042</v>
      </c>
      <c r="S43" s="258">
        <v>54700</v>
      </c>
      <c r="T43" s="258">
        <v>49690</v>
      </c>
      <c r="U43" s="258">
        <v>45230</v>
      </c>
      <c r="V43" s="259">
        <v>45128</v>
      </c>
      <c r="W43" s="262" t="s">
        <v>254</v>
      </c>
    </row>
    <row r="44" spans="1:26" ht="12.75" customHeight="1" x14ac:dyDescent="0.3">
      <c r="A44" s="261" t="s">
        <v>255</v>
      </c>
      <c r="B44" s="258">
        <v>60540</v>
      </c>
      <c r="C44" s="258">
        <v>58341</v>
      </c>
      <c r="D44" s="258">
        <v>59961</v>
      </c>
      <c r="E44" s="258">
        <v>59352</v>
      </c>
      <c r="F44" s="258">
        <v>58608</v>
      </c>
      <c r="G44" s="258">
        <v>56643</v>
      </c>
      <c r="H44" s="258">
        <v>56397</v>
      </c>
      <c r="I44" s="258">
        <v>59097</v>
      </c>
      <c r="J44" s="258">
        <v>54690</v>
      </c>
      <c r="K44" s="258">
        <v>52881</v>
      </c>
      <c r="L44" s="258">
        <v>54567</v>
      </c>
      <c r="M44" s="258">
        <v>55848</v>
      </c>
      <c r="N44" s="258">
        <v>49533</v>
      </c>
      <c r="O44" s="258">
        <v>45363</v>
      </c>
      <c r="P44" s="258">
        <v>39798</v>
      </c>
      <c r="Q44" s="258">
        <v>34968</v>
      </c>
      <c r="R44" s="258">
        <v>35985</v>
      </c>
      <c r="S44" s="258">
        <v>34365</v>
      </c>
      <c r="T44" s="258">
        <v>30765</v>
      </c>
      <c r="U44" s="258">
        <v>27717</v>
      </c>
      <c r="V44" s="259">
        <v>26502</v>
      </c>
      <c r="W44" s="262" t="s">
        <v>255</v>
      </c>
    </row>
    <row r="45" spans="1:26" ht="12.75" customHeight="1" x14ac:dyDescent="0.3">
      <c r="A45" s="261" t="s">
        <v>308</v>
      </c>
      <c r="B45" s="258">
        <v>71983</v>
      </c>
      <c r="C45" s="258">
        <v>71073</v>
      </c>
      <c r="D45" s="258">
        <v>74970</v>
      </c>
      <c r="E45" s="258">
        <v>72329</v>
      </c>
      <c r="F45" s="258">
        <v>71930</v>
      </c>
      <c r="G45" s="258">
        <v>68876</v>
      </c>
      <c r="H45" s="258">
        <v>70340</v>
      </c>
      <c r="I45" s="258">
        <v>74828</v>
      </c>
      <c r="J45" s="258">
        <v>69540</v>
      </c>
      <c r="K45" s="258">
        <v>64845</v>
      </c>
      <c r="L45" s="258">
        <v>69119</v>
      </c>
      <c r="M45" s="258">
        <v>69308</v>
      </c>
      <c r="N45" s="258">
        <v>58445</v>
      </c>
      <c r="O45" s="258">
        <v>51642</v>
      </c>
      <c r="P45" s="258">
        <v>45843</v>
      </c>
      <c r="Q45" s="258">
        <v>38765</v>
      </c>
      <c r="R45" s="258">
        <v>37738</v>
      </c>
      <c r="S45" s="258">
        <v>34470</v>
      </c>
      <c r="T45" s="258">
        <v>30009</v>
      </c>
      <c r="U45" s="258">
        <v>26220</v>
      </c>
      <c r="V45" s="259">
        <v>25384</v>
      </c>
      <c r="W45" s="262" t="s">
        <v>308</v>
      </c>
    </row>
    <row r="46" spans="1:26" ht="6.95" customHeight="1" thickBot="1" x14ac:dyDescent="0.35">
      <c r="A46" s="226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8"/>
    </row>
    <row r="47" spans="1:26" ht="36" customHeight="1" x14ac:dyDescent="0.3">
      <c r="A47" s="195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95"/>
    </row>
    <row r="48" spans="1:26" s="13" customFormat="1" ht="25.5" customHeight="1" x14ac:dyDescent="0.3">
      <c r="A48" s="287" t="s">
        <v>287</v>
      </c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8" t="s">
        <v>304</v>
      </c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22"/>
      <c r="Y48" s="222"/>
      <c r="Z48" s="222"/>
    </row>
    <row r="49" spans="1:25" s="14" customFormat="1" ht="12.75" customHeight="1" thickBot="1" x14ac:dyDescent="0.35">
      <c r="A49" s="201"/>
      <c r="B49" s="202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4"/>
      <c r="U49" s="204"/>
      <c r="V49" s="204"/>
      <c r="W49" s="224" t="s">
        <v>284</v>
      </c>
      <c r="X49" s="197"/>
      <c r="Y49" s="197"/>
    </row>
    <row r="50" spans="1:25" s="14" customFormat="1" ht="10.7" customHeight="1" x14ac:dyDescent="0.3">
      <c r="A50" s="281" t="s">
        <v>283</v>
      </c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8"/>
      <c r="U50" s="247"/>
      <c r="V50" s="248"/>
      <c r="W50" s="284" t="s">
        <v>303</v>
      </c>
      <c r="X50" s="197"/>
      <c r="Y50" s="197"/>
    </row>
    <row r="51" spans="1:25" s="178" customFormat="1" ht="10.7" customHeight="1" x14ac:dyDescent="0.3">
      <c r="A51" s="282"/>
      <c r="B51" s="249">
        <v>2004</v>
      </c>
      <c r="C51" s="249">
        <v>2005</v>
      </c>
      <c r="D51" s="249">
        <v>2006</v>
      </c>
      <c r="E51" s="249">
        <v>2007</v>
      </c>
      <c r="F51" s="249">
        <v>2008</v>
      </c>
      <c r="G51" s="249">
        <v>2009</v>
      </c>
      <c r="H51" s="249">
        <v>2010</v>
      </c>
      <c r="I51" s="249">
        <v>2011</v>
      </c>
      <c r="J51" s="249">
        <f t="shared" ref="J51" si="1">K51-1</f>
        <v>2012</v>
      </c>
      <c r="K51" s="249">
        <f t="shared" ref="K51" si="2">L51-1</f>
        <v>2013</v>
      </c>
      <c r="L51" s="249">
        <f t="shared" ref="L51" si="3">M51-1</f>
        <v>2014</v>
      </c>
      <c r="M51" s="249">
        <f t="shared" ref="M51" si="4">N51-1</f>
        <v>2015</v>
      </c>
      <c r="N51" s="249">
        <f t="shared" ref="N51" si="5">O51-1</f>
        <v>2016</v>
      </c>
      <c r="O51" s="249">
        <f t="shared" ref="O51" si="6">P51-1</f>
        <v>2017</v>
      </c>
      <c r="P51" s="249">
        <v>2018</v>
      </c>
      <c r="Q51" s="249">
        <v>2019</v>
      </c>
      <c r="R51" s="249">
        <v>2020</v>
      </c>
      <c r="S51" s="249">
        <v>2021</v>
      </c>
      <c r="T51" s="250">
        <v>2022</v>
      </c>
      <c r="U51" s="249">
        <v>2023</v>
      </c>
      <c r="V51" s="64">
        <v>2024</v>
      </c>
      <c r="W51" s="285"/>
    </row>
    <row r="52" spans="1:25" s="178" customFormat="1" ht="10.7" customHeight="1" x14ac:dyDescent="0.3">
      <c r="A52" s="283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2"/>
      <c r="U52" s="251"/>
      <c r="V52" s="263"/>
      <c r="W52" s="286"/>
    </row>
    <row r="53" spans="1:25" ht="6.95" customHeight="1" x14ac:dyDescent="0.3">
      <c r="A53" s="261"/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64"/>
    </row>
    <row r="54" spans="1:25" ht="12.75" customHeight="1" x14ac:dyDescent="0.3">
      <c r="A54" s="265" t="s">
        <v>311</v>
      </c>
      <c r="B54" s="266">
        <v>140336</v>
      </c>
      <c r="C54" s="266">
        <v>128809</v>
      </c>
      <c r="D54" s="266">
        <v>111700</v>
      </c>
      <c r="E54" s="266">
        <v>82938</v>
      </c>
      <c r="F54" s="266">
        <v>52022</v>
      </c>
      <c r="G54" s="266">
        <v>43987</v>
      </c>
      <c r="H54" s="266">
        <v>31026</v>
      </c>
      <c r="I54" s="266">
        <v>-8450</v>
      </c>
      <c r="J54" s="266">
        <v>6900</v>
      </c>
      <c r="K54" s="266">
        <v>-4384</v>
      </c>
      <c r="L54" s="266">
        <v>-21111</v>
      </c>
      <c r="M54" s="266">
        <v>-32950</v>
      </c>
      <c r="N54" s="266">
        <v>-863</v>
      </c>
      <c r="O54" s="266">
        <v>16006</v>
      </c>
      <c r="P54" s="266">
        <v>59797</v>
      </c>
      <c r="Q54" s="266">
        <v>82741</v>
      </c>
      <c r="R54" s="266">
        <v>87775</v>
      </c>
      <c r="S54" s="266">
        <v>55697</v>
      </c>
      <c r="T54" s="266">
        <v>36643</v>
      </c>
      <c r="U54" s="266">
        <v>46869</v>
      </c>
      <c r="V54" s="266">
        <v>45169</v>
      </c>
      <c r="W54" s="267" t="s">
        <v>312</v>
      </c>
    </row>
    <row r="55" spans="1:25" ht="5.25" customHeight="1" x14ac:dyDescent="0.3">
      <c r="A55" s="261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68"/>
    </row>
    <row r="56" spans="1:25" ht="12.75" customHeight="1" x14ac:dyDescent="0.3">
      <c r="A56" s="261" t="s">
        <v>263</v>
      </c>
      <c r="B56" s="266">
        <f>B68+B80</f>
        <v>29430</v>
      </c>
      <c r="C56" s="266">
        <f t="shared" ref="C56:V64" si="7">C68+C80</f>
        <v>19284</v>
      </c>
      <c r="D56" s="266">
        <f t="shared" si="7"/>
        <v>12474</v>
      </c>
      <c r="E56" s="266">
        <f t="shared" si="7"/>
        <v>5717</v>
      </c>
      <c r="F56" s="266">
        <f t="shared" si="7"/>
        <v>5107</v>
      </c>
      <c r="G56" s="266">
        <f t="shared" si="7"/>
        <v>3623</v>
      </c>
      <c r="H56" s="266">
        <f t="shared" si="7"/>
        <v>1414</v>
      </c>
      <c r="I56" s="266">
        <f t="shared" si="7"/>
        <v>-7214</v>
      </c>
      <c r="J56" s="266">
        <f t="shared" si="7"/>
        <v>-4677</v>
      </c>
      <c r="K56" s="266">
        <f t="shared" si="7"/>
        <v>-6026</v>
      </c>
      <c r="L56" s="266">
        <f t="shared" si="7"/>
        <v>-9586</v>
      </c>
      <c r="M56" s="266">
        <f t="shared" si="7"/>
        <v>-11482</v>
      </c>
      <c r="N56" s="266">
        <f t="shared" si="7"/>
        <v>-5557</v>
      </c>
      <c r="O56" s="266">
        <f t="shared" si="7"/>
        <v>-787</v>
      </c>
      <c r="P56" s="266">
        <f t="shared" si="7"/>
        <v>5439</v>
      </c>
      <c r="Q56" s="266">
        <f t="shared" si="7"/>
        <v>9310</v>
      </c>
      <c r="R56" s="266">
        <f t="shared" si="7"/>
        <v>9180</v>
      </c>
      <c r="S56" s="266">
        <f t="shared" si="7"/>
        <v>6051</v>
      </c>
      <c r="T56" s="266">
        <f t="shared" si="7"/>
        <v>6749</v>
      </c>
      <c r="U56" s="266">
        <f t="shared" si="7"/>
        <v>9503</v>
      </c>
      <c r="V56" s="266">
        <f t="shared" si="7"/>
        <v>8466</v>
      </c>
      <c r="W56" s="268" t="s">
        <v>263</v>
      </c>
    </row>
    <row r="57" spans="1:25" ht="12.75" customHeight="1" x14ac:dyDescent="0.3">
      <c r="A57" s="261" t="s">
        <v>249</v>
      </c>
      <c r="B57" s="266">
        <f t="shared" ref="B57:Q64" si="8">B69+B81</f>
        <v>84076</v>
      </c>
      <c r="C57" s="266">
        <f t="shared" si="8"/>
        <v>90060</v>
      </c>
      <c r="D57" s="266">
        <f t="shared" si="8"/>
        <v>84294</v>
      </c>
      <c r="E57" s="266">
        <f t="shared" si="8"/>
        <v>75181</v>
      </c>
      <c r="F57" s="266">
        <f t="shared" si="8"/>
        <v>59437</v>
      </c>
      <c r="G57" s="266">
        <f t="shared" si="8"/>
        <v>52544</v>
      </c>
      <c r="H57" s="266">
        <f t="shared" si="8"/>
        <v>53701</v>
      </c>
      <c r="I57" s="266">
        <f t="shared" si="8"/>
        <v>43351</v>
      </c>
      <c r="J57" s="266">
        <f t="shared" si="8"/>
        <v>51163</v>
      </c>
      <c r="K57" s="266">
        <f t="shared" si="8"/>
        <v>44656</v>
      </c>
      <c r="L57" s="266">
        <f t="shared" si="8"/>
        <v>44515</v>
      </c>
      <c r="M57" s="266">
        <f t="shared" si="8"/>
        <v>39557</v>
      </c>
      <c r="N57" s="266">
        <f t="shared" si="8"/>
        <v>51123</v>
      </c>
      <c r="O57" s="266">
        <f t="shared" si="8"/>
        <v>53869</v>
      </c>
      <c r="P57" s="266">
        <f t="shared" si="8"/>
        <v>66366</v>
      </c>
      <c r="Q57" s="266">
        <f t="shared" si="8"/>
        <v>75593</v>
      </c>
      <c r="R57" s="266">
        <f t="shared" si="7"/>
        <v>81442</v>
      </c>
      <c r="S57" s="266">
        <f t="shared" si="7"/>
        <v>70211</v>
      </c>
      <c r="T57" s="266">
        <f t="shared" si="7"/>
        <v>63506</v>
      </c>
      <c r="U57" s="266">
        <f t="shared" si="7"/>
        <v>56911</v>
      </c>
      <c r="V57" s="266">
        <f t="shared" si="7"/>
        <v>54055</v>
      </c>
      <c r="W57" s="268" t="s">
        <v>249</v>
      </c>
    </row>
    <row r="58" spans="1:25" ht="12.75" customHeight="1" x14ac:dyDescent="0.3">
      <c r="A58" s="261" t="s">
        <v>250</v>
      </c>
      <c r="B58" s="266">
        <f t="shared" si="8"/>
        <v>13374</v>
      </c>
      <c r="C58" s="266">
        <f t="shared" si="7"/>
        <v>9840</v>
      </c>
      <c r="D58" s="266">
        <f t="shared" si="7"/>
        <v>6848</v>
      </c>
      <c r="E58" s="266">
        <f t="shared" si="7"/>
        <v>1816</v>
      </c>
      <c r="F58" s="266">
        <f t="shared" si="7"/>
        <v>-2176</v>
      </c>
      <c r="G58" s="266">
        <f t="shared" si="7"/>
        <v>-2742</v>
      </c>
      <c r="H58" s="266">
        <f t="shared" si="7"/>
        <v>-5770</v>
      </c>
      <c r="I58" s="266">
        <f t="shared" si="7"/>
        <v>-12021</v>
      </c>
      <c r="J58" s="266">
        <f t="shared" si="7"/>
        <v>-7821</v>
      </c>
      <c r="K58" s="266">
        <f t="shared" si="7"/>
        <v>-9099</v>
      </c>
      <c r="L58" s="266">
        <f t="shared" si="7"/>
        <v>-14919</v>
      </c>
      <c r="M58" s="266">
        <f t="shared" si="7"/>
        <v>-16824</v>
      </c>
      <c r="N58" s="266">
        <f t="shared" si="7"/>
        <v>-9429</v>
      </c>
      <c r="O58" s="266">
        <f t="shared" si="7"/>
        <v>-3344</v>
      </c>
      <c r="P58" s="266">
        <f t="shared" si="7"/>
        <v>6743</v>
      </c>
      <c r="Q58" s="266">
        <f t="shared" si="7"/>
        <v>9595</v>
      </c>
      <c r="R58" s="266">
        <f t="shared" si="7"/>
        <v>11988</v>
      </c>
      <c r="S58" s="266">
        <f t="shared" si="7"/>
        <v>4390</v>
      </c>
      <c r="T58" s="266">
        <f t="shared" si="7"/>
        <v>862</v>
      </c>
      <c r="U58" s="266">
        <f t="shared" si="7"/>
        <v>2693</v>
      </c>
      <c r="V58" s="266">
        <f t="shared" si="7"/>
        <v>3512</v>
      </c>
      <c r="W58" s="268" t="s">
        <v>250</v>
      </c>
    </row>
    <row r="59" spans="1:25" ht="12.75" customHeight="1" x14ac:dyDescent="0.3">
      <c r="A59" s="261" t="s">
        <v>251</v>
      </c>
      <c r="B59" s="266">
        <f t="shared" si="8"/>
        <v>5597</v>
      </c>
      <c r="C59" s="266">
        <f t="shared" si="7"/>
        <v>3883</v>
      </c>
      <c r="D59" s="266">
        <f t="shared" si="7"/>
        <v>1726</v>
      </c>
      <c r="E59" s="266">
        <f t="shared" si="7"/>
        <v>-1467</v>
      </c>
      <c r="F59" s="266">
        <f t="shared" si="7"/>
        <v>-4870</v>
      </c>
      <c r="G59" s="266">
        <f t="shared" si="7"/>
        <v>-3825</v>
      </c>
      <c r="H59" s="266">
        <f t="shared" si="7"/>
        <v>-7321</v>
      </c>
      <c r="I59" s="266">
        <f t="shared" si="7"/>
        <v>-12881</v>
      </c>
      <c r="J59" s="266">
        <f t="shared" si="7"/>
        <v>-11625</v>
      </c>
      <c r="K59" s="266">
        <f t="shared" si="7"/>
        <v>-13034</v>
      </c>
      <c r="L59" s="266">
        <f t="shared" si="7"/>
        <v>-16335</v>
      </c>
      <c r="M59" s="266">
        <f t="shared" si="7"/>
        <v>-17491</v>
      </c>
      <c r="N59" s="266">
        <f t="shared" si="7"/>
        <v>-12883</v>
      </c>
      <c r="O59" s="266">
        <f t="shared" si="7"/>
        <v>-9981</v>
      </c>
      <c r="P59" s="266">
        <f t="shared" si="7"/>
        <v>-4171</v>
      </c>
      <c r="Q59" s="266">
        <f t="shared" si="7"/>
        <v>-1067</v>
      </c>
      <c r="R59" s="266">
        <f t="shared" si="7"/>
        <v>-527</v>
      </c>
      <c r="S59" s="266">
        <f t="shared" si="7"/>
        <v>-4687</v>
      </c>
      <c r="T59" s="266">
        <f t="shared" si="7"/>
        <v>-6733</v>
      </c>
      <c r="U59" s="266">
        <f t="shared" si="7"/>
        <v>-3520</v>
      </c>
      <c r="V59" s="266">
        <f t="shared" si="7"/>
        <v>-3570</v>
      </c>
      <c r="W59" s="268" t="s">
        <v>251</v>
      </c>
    </row>
    <row r="60" spans="1:25" ht="12.75" customHeight="1" x14ac:dyDescent="0.3">
      <c r="A60" s="261" t="s">
        <v>252</v>
      </c>
      <c r="B60" s="266">
        <f t="shared" si="8"/>
        <v>1422</v>
      </c>
      <c r="C60" s="266">
        <f t="shared" si="7"/>
        <v>41</v>
      </c>
      <c r="D60" s="266">
        <f t="shared" si="7"/>
        <v>113</v>
      </c>
      <c r="E60" s="266">
        <f t="shared" si="7"/>
        <v>-1169</v>
      </c>
      <c r="F60" s="266">
        <f t="shared" si="7"/>
        <v>-3940</v>
      </c>
      <c r="G60" s="266">
        <f t="shared" si="7"/>
        <v>-3621</v>
      </c>
      <c r="H60" s="266">
        <f t="shared" si="7"/>
        <v>-6251</v>
      </c>
      <c r="I60" s="266">
        <f t="shared" si="7"/>
        <v>-11660</v>
      </c>
      <c r="J60" s="266">
        <f t="shared" si="7"/>
        <v>-11834</v>
      </c>
      <c r="K60" s="266">
        <f t="shared" si="7"/>
        <v>-12037</v>
      </c>
      <c r="L60" s="266">
        <f t="shared" si="7"/>
        <v>-14495</v>
      </c>
      <c r="M60" s="266">
        <f t="shared" si="7"/>
        <v>-16213</v>
      </c>
      <c r="N60" s="266">
        <f t="shared" si="7"/>
        <v>-14703</v>
      </c>
      <c r="O60" s="266">
        <f t="shared" si="7"/>
        <v>-13086</v>
      </c>
      <c r="P60" s="266">
        <f t="shared" si="7"/>
        <v>-8690</v>
      </c>
      <c r="Q60" s="266">
        <f t="shared" si="7"/>
        <v>-6678</v>
      </c>
      <c r="R60" s="266">
        <f t="shared" si="7"/>
        <v>-7033</v>
      </c>
      <c r="S60" s="266">
        <f t="shared" si="7"/>
        <v>-9824</v>
      </c>
      <c r="T60" s="266">
        <f t="shared" si="7"/>
        <v>-12773</v>
      </c>
      <c r="U60" s="266">
        <f t="shared" si="7"/>
        <v>-9545</v>
      </c>
      <c r="V60" s="266">
        <f t="shared" si="7"/>
        <v>-9329</v>
      </c>
      <c r="W60" s="268" t="s">
        <v>252</v>
      </c>
    </row>
    <row r="61" spans="1:25" ht="12.75" customHeight="1" x14ac:dyDescent="0.3">
      <c r="A61" s="261" t="s">
        <v>279</v>
      </c>
      <c r="B61" s="266">
        <f t="shared" si="8"/>
        <v>6437</v>
      </c>
      <c r="C61" s="266">
        <f t="shared" si="7"/>
        <v>5701</v>
      </c>
      <c r="D61" s="266">
        <f t="shared" si="7"/>
        <v>6245</v>
      </c>
      <c r="E61" s="266">
        <f t="shared" si="7"/>
        <v>2860</v>
      </c>
      <c r="F61" s="266">
        <f t="shared" si="7"/>
        <v>-1536</v>
      </c>
      <c r="G61" s="266">
        <f t="shared" si="7"/>
        <v>-1992</v>
      </c>
      <c r="H61" s="266">
        <f t="shared" si="7"/>
        <v>-4747</v>
      </c>
      <c r="I61" s="266">
        <f t="shared" si="7"/>
        <v>-8025</v>
      </c>
      <c r="J61" s="266">
        <f t="shared" si="7"/>
        <v>-8306</v>
      </c>
      <c r="K61" s="266">
        <f t="shared" si="7"/>
        <v>-8844</v>
      </c>
      <c r="L61" s="266">
        <f t="shared" si="7"/>
        <v>-10291</v>
      </c>
      <c r="M61" s="266">
        <f t="shared" si="7"/>
        <v>-10497</v>
      </c>
      <c r="N61" s="266">
        <f t="shared" si="7"/>
        <v>-9414</v>
      </c>
      <c r="O61" s="266">
        <f t="shared" si="7"/>
        <v>-10665</v>
      </c>
      <c r="P61" s="266">
        <f t="shared" si="7"/>
        <v>-5890</v>
      </c>
      <c r="Q61" s="266">
        <f t="shared" si="7"/>
        <v>-4012</v>
      </c>
      <c r="R61" s="266">
        <f t="shared" si="7"/>
        <v>-7275</v>
      </c>
      <c r="S61" s="266">
        <f t="shared" si="7"/>
        <v>-10444</v>
      </c>
      <c r="T61" s="266">
        <f t="shared" si="7"/>
        <v>-14968</v>
      </c>
      <c r="U61" s="266">
        <f t="shared" si="7"/>
        <v>-9173</v>
      </c>
      <c r="V61" s="266">
        <f t="shared" si="7"/>
        <v>-7965</v>
      </c>
      <c r="W61" s="268" t="s">
        <v>279</v>
      </c>
    </row>
    <row r="62" spans="1:25" ht="6.95" customHeight="1" x14ac:dyDescent="0.3">
      <c r="A62" s="261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8"/>
    </row>
    <row r="63" spans="1:25" ht="12.75" customHeight="1" x14ac:dyDescent="0.3">
      <c r="A63" s="261" t="s">
        <v>299</v>
      </c>
      <c r="B63" s="266">
        <f t="shared" si="8"/>
        <v>95460</v>
      </c>
      <c r="C63" s="266">
        <f t="shared" si="7"/>
        <v>100649</v>
      </c>
      <c r="D63" s="266">
        <f t="shared" si="7"/>
        <v>92980</v>
      </c>
      <c r="E63" s="266">
        <f t="shared" si="7"/>
        <v>80497</v>
      </c>
      <c r="F63" s="266">
        <f t="shared" si="7"/>
        <v>62258</v>
      </c>
      <c r="G63" s="266">
        <f t="shared" si="7"/>
        <v>54985</v>
      </c>
      <c r="H63" s="266">
        <f t="shared" si="7"/>
        <v>54752</v>
      </c>
      <c r="I63" s="266">
        <f t="shared" si="7"/>
        <v>39634</v>
      </c>
      <c r="J63" s="266">
        <f t="shared" si="7"/>
        <v>51000</v>
      </c>
      <c r="K63" s="266">
        <f t="shared" si="7"/>
        <v>43211</v>
      </c>
      <c r="L63" s="266">
        <f t="shared" si="7"/>
        <v>40017</v>
      </c>
      <c r="M63" s="266">
        <f t="shared" si="7"/>
        <v>33971</v>
      </c>
      <c r="N63" s="266">
        <f t="shared" si="7"/>
        <v>51025</v>
      </c>
      <c r="O63" s="266">
        <f t="shared" si="7"/>
        <v>56545</v>
      </c>
      <c r="P63" s="266">
        <f t="shared" si="7"/>
        <v>75696</v>
      </c>
      <c r="Q63" s="266">
        <f t="shared" si="7"/>
        <v>86661</v>
      </c>
      <c r="R63" s="266">
        <f t="shared" si="7"/>
        <v>94297</v>
      </c>
      <c r="S63" s="266">
        <f t="shared" si="7"/>
        <v>78003</v>
      </c>
      <c r="T63" s="266">
        <f t="shared" si="7"/>
        <v>70143</v>
      </c>
      <c r="U63" s="266">
        <f t="shared" si="7"/>
        <v>63090</v>
      </c>
      <c r="V63" s="266">
        <f t="shared" si="7"/>
        <v>61490</v>
      </c>
      <c r="W63" s="268" t="s">
        <v>299</v>
      </c>
    </row>
    <row r="64" spans="1:25" ht="12.75" customHeight="1" x14ac:dyDescent="0.3">
      <c r="A64" s="261" t="s">
        <v>300</v>
      </c>
      <c r="B64" s="266">
        <f t="shared" si="8"/>
        <v>7753</v>
      </c>
      <c r="C64" s="266">
        <f t="shared" si="7"/>
        <v>4410</v>
      </c>
      <c r="D64" s="266">
        <f t="shared" si="7"/>
        <v>2508</v>
      </c>
      <c r="E64" s="266">
        <f t="shared" si="7"/>
        <v>-2491</v>
      </c>
      <c r="F64" s="266">
        <f t="shared" si="7"/>
        <v>-10285</v>
      </c>
      <c r="G64" s="266">
        <f t="shared" si="7"/>
        <v>-8974</v>
      </c>
      <c r="H64" s="266">
        <f t="shared" si="7"/>
        <v>-16259</v>
      </c>
      <c r="I64" s="266">
        <f t="shared" si="7"/>
        <v>-28237</v>
      </c>
      <c r="J64" s="266">
        <f t="shared" si="7"/>
        <v>-27245</v>
      </c>
      <c r="K64" s="266">
        <f t="shared" si="7"/>
        <v>-29325</v>
      </c>
      <c r="L64" s="266">
        <f t="shared" si="7"/>
        <v>-35516</v>
      </c>
      <c r="M64" s="266">
        <f t="shared" si="7"/>
        <v>-39216</v>
      </c>
      <c r="N64" s="266">
        <f t="shared" si="7"/>
        <v>-33019</v>
      </c>
      <c r="O64" s="266">
        <f t="shared" si="7"/>
        <v>-28686</v>
      </c>
      <c r="P64" s="266">
        <f t="shared" si="7"/>
        <v>-16750</v>
      </c>
      <c r="Q64" s="266">
        <f t="shared" si="7"/>
        <v>-10750</v>
      </c>
      <c r="R64" s="266">
        <f t="shared" si="7"/>
        <v>-11624</v>
      </c>
      <c r="S64" s="266">
        <f t="shared" si="7"/>
        <v>-20467</v>
      </c>
      <c r="T64" s="266">
        <f t="shared" si="7"/>
        <v>-27113</v>
      </c>
      <c r="U64" s="266">
        <f t="shared" si="7"/>
        <v>-19004</v>
      </c>
      <c r="V64" s="266">
        <f t="shared" si="7"/>
        <v>-17983</v>
      </c>
      <c r="W64" s="268" t="s">
        <v>300</v>
      </c>
    </row>
    <row r="65" spans="1:23" ht="6.95" customHeight="1" x14ac:dyDescent="0.3">
      <c r="A65" s="269"/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64"/>
    </row>
    <row r="66" spans="1:23" ht="12.75" customHeight="1" x14ac:dyDescent="0.3">
      <c r="A66" s="270" t="s">
        <v>309</v>
      </c>
      <c r="B66" s="266">
        <v>87393</v>
      </c>
      <c r="C66" s="266">
        <v>95953</v>
      </c>
      <c r="D66" s="266">
        <v>94440</v>
      </c>
      <c r="E66" s="266">
        <v>78102</v>
      </c>
      <c r="F66" s="266">
        <v>56145</v>
      </c>
      <c r="G66" s="266">
        <v>46605</v>
      </c>
      <c r="H66" s="266">
        <v>40345</v>
      </c>
      <c r="I66" s="266">
        <v>23908</v>
      </c>
      <c r="J66" s="266">
        <v>34546</v>
      </c>
      <c r="K66" s="266">
        <v>25853</v>
      </c>
      <c r="L66" s="266">
        <v>21122</v>
      </c>
      <c r="M66" s="266">
        <v>18091</v>
      </c>
      <c r="N66" s="266">
        <v>36584</v>
      </c>
      <c r="O66" s="266">
        <v>40962</v>
      </c>
      <c r="P66" s="266">
        <v>67225</v>
      </c>
      <c r="Q66" s="266">
        <v>78816</v>
      </c>
      <c r="R66" s="266">
        <v>86102</v>
      </c>
      <c r="S66" s="266">
        <v>66578</v>
      </c>
      <c r="T66" s="266">
        <v>52429</v>
      </c>
      <c r="U66" s="266">
        <v>49696</v>
      </c>
      <c r="V66" s="266">
        <v>49834</v>
      </c>
      <c r="W66" s="271" t="s">
        <v>309</v>
      </c>
    </row>
    <row r="67" spans="1:23" ht="6.95" customHeight="1" x14ac:dyDescent="0.3">
      <c r="A67" s="270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8"/>
    </row>
    <row r="68" spans="1:23" ht="12.75" customHeight="1" x14ac:dyDescent="0.3">
      <c r="A68" s="261" t="s">
        <v>263</v>
      </c>
      <c r="B68" s="266">
        <v>5261</v>
      </c>
      <c r="C68" s="266">
        <v>5813</v>
      </c>
      <c r="D68" s="266">
        <v>5023</v>
      </c>
      <c r="E68" s="266">
        <v>3440</v>
      </c>
      <c r="F68" s="266">
        <v>3835</v>
      </c>
      <c r="G68" s="266">
        <v>3638</v>
      </c>
      <c r="H68" s="266">
        <v>2856</v>
      </c>
      <c r="I68" s="266">
        <v>1704</v>
      </c>
      <c r="J68" s="266">
        <v>3315</v>
      </c>
      <c r="K68" s="266">
        <v>2479</v>
      </c>
      <c r="L68" s="266">
        <v>3277</v>
      </c>
      <c r="M68" s="266">
        <v>3434</v>
      </c>
      <c r="N68" s="266">
        <v>5062</v>
      </c>
      <c r="O68" s="266">
        <v>4693</v>
      </c>
      <c r="P68" s="266">
        <v>5537</v>
      </c>
      <c r="Q68" s="266">
        <v>6542</v>
      </c>
      <c r="R68" s="266">
        <v>6708</v>
      </c>
      <c r="S68" s="266">
        <v>6411</v>
      </c>
      <c r="T68" s="266">
        <v>7975</v>
      </c>
      <c r="U68" s="266">
        <v>6786</v>
      </c>
      <c r="V68" s="266">
        <v>6860</v>
      </c>
      <c r="W68" s="268" t="s">
        <v>315</v>
      </c>
    </row>
    <row r="69" spans="1:23" ht="12.75" customHeight="1" x14ac:dyDescent="0.3">
      <c r="A69" s="261" t="s">
        <v>249</v>
      </c>
      <c r="B69" s="266">
        <v>73458</v>
      </c>
      <c r="C69" s="266">
        <v>82076</v>
      </c>
      <c r="D69" s="266">
        <v>78350</v>
      </c>
      <c r="E69" s="266">
        <v>71387</v>
      </c>
      <c r="F69" s="266">
        <v>56886</v>
      </c>
      <c r="G69" s="266">
        <v>49698</v>
      </c>
      <c r="H69" s="266">
        <v>51353</v>
      </c>
      <c r="I69" s="266">
        <v>43737</v>
      </c>
      <c r="J69" s="266">
        <v>49799</v>
      </c>
      <c r="K69" s="266">
        <v>44286</v>
      </c>
      <c r="L69" s="266">
        <v>44715</v>
      </c>
      <c r="M69" s="266">
        <v>41406</v>
      </c>
      <c r="N69" s="266">
        <v>51435</v>
      </c>
      <c r="O69" s="266">
        <v>53401</v>
      </c>
      <c r="P69" s="266">
        <v>64243</v>
      </c>
      <c r="Q69" s="266">
        <v>72447</v>
      </c>
      <c r="R69" s="266">
        <v>78827</v>
      </c>
      <c r="S69" s="266">
        <v>69590</v>
      </c>
      <c r="T69" s="266">
        <v>63855</v>
      </c>
      <c r="U69" s="266">
        <v>56669</v>
      </c>
      <c r="V69" s="266">
        <v>54059</v>
      </c>
      <c r="W69" s="268" t="s">
        <v>249</v>
      </c>
    </row>
    <row r="70" spans="1:23" ht="12.75" customHeight="1" x14ac:dyDescent="0.3">
      <c r="A70" s="261" t="s">
        <v>250</v>
      </c>
      <c r="B70" s="266">
        <v>5536</v>
      </c>
      <c r="C70" s="266">
        <v>5601</v>
      </c>
      <c r="D70" s="266">
        <v>6773</v>
      </c>
      <c r="E70" s="266">
        <v>4082</v>
      </c>
      <c r="F70" s="266">
        <v>1750</v>
      </c>
      <c r="G70" s="266">
        <v>894</v>
      </c>
      <c r="H70" s="266">
        <v>-267</v>
      </c>
      <c r="I70" s="266">
        <v>-2443</v>
      </c>
      <c r="J70" s="266">
        <v>488</v>
      </c>
      <c r="K70" s="266">
        <v>-784</v>
      </c>
      <c r="L70" s="266">
        <v>-2635</v>
      </c>
      <c r="M70" s="266">
        <v>-3485</v>
      </c>
      <c r="N70" s="266">
        <v>271</v>
      </c>
      <c r="O70" s="266">
        <v>3008</v>
      </c>
      <c r="P70" s="266">
        <v>8717</v>
      </c>
      <c r="Q70" s="266">
        <v>9972</v>
      </c>
      <c r="R70" s="266">
        <v>11645</v>
      </c>
      <c r="S70" s="266">
        <v>6160</v>
      </c>
      <c r="T70" s="266">
        <v>3500</v>
      </c>
      <c r="U70" s="266">
        <v>3386</v>
      </c>
      <c r="V70" s="266">
        <v>3839</v>
      </c>
      <c r="W70" s="268" t="s">
        <v>250</v>
      </c>
    </row>
    <row r="71" spans="1:23" ht="12.75" customHeight="1" x14ac:dyDescent="0.3">
      <c r="A71" s="261" t="s">
        <v>251</v>
      </c>
      <c r="B71" s="266">
        <v>-1108</v>
      </c>
      <c r="C71" s="266">
        <v>-835</v>
      </c>
      <c r="D71" s="266">
        <v>-1336</v>
      </c>
      <c r="E71" s="266">
        <v>-2592</v>
      </c>
      <c r="F71" s="266">
        <v>-4789</v>
      </c>
      <c r="G71" s="266">
        <v>-4431</v>
      </c>
      <c r="H71" s="266">
        <v>-6769</v>
      </c>
      <c r="I71" s="266">
        <v>-8655</v>
      </c>
      <c r="J71" s="266">
        <v>-7177</v>
      </c>
      <c r="K71" s="266">
        <v>-8210</v>
      </c>
      <c r="L71" s="266">
        <v>-9545</v>
      </c>
      <c r="M71" s="266">
        <v>-9247</v>
      </c>
      <c r="N71" s="266">
        <v>-6886</v>
      </c>
      <c r="O71" s="266">
        <v>-6056</v>
      </c>
      <c r="P71" s="266">
        <v>-2633</v>
      </c>
      <c r="Q71" s="266">
        <v>-1955</v>
      </c>
      <c r="R71" s="266">
        <v>-840</v>
      </c>
      <c r="S71" s="266">
        <v>-2868</v>
      </c>
      <c r="T71" s="266">
        <v>-4390</v>
      </c>
      <c r="U71" s="266">
        <v>-3589</v>
      </c>
      <c r="V71" s="266">
        <v>-3083</v>
      </c>
      <c r="W71" s="268" t="s">
        <v>251</v>
      </c>
    </row>
    <row r="72" spans="1:23" ht="12.75" customHeight="1" x14ac:dyDescent="0.3">
      <c r="A72" s="261" t="s">
        <v>252</v>
      </c>
      <c r="B72" s="266">
        <v>-268</v>
      </c>
      <c r="C72" s="266">
        <v>-732</v>
      </c>
      <c r="D72" s="266">
        <v>-196</v>
      </c>
      <c r="E72" s="266">
        <v>-903</v>
      </c>
      <c r="F72" s="266">
        <v>-2280</v>
      </c>
      <c r="G72" s="266">
        <v>-2831</v>
      </c>
      <c r="H72" s="266">
        <v>-4438</v>
      </c>
      <c r="I72" s="266">
        <v>-6854</v>
      </c>
      <c r="J72" s="266">
        <v>-7554</v>
      </c>
      <c r="K72" s="266">
        <v>-7517</v>
      </c>
      <c r="L72" s="266">
        <v>-9027</v>
      </c>
      <c r="M72" s="266">
        <v>-9461</v>
      </c>
      <c r="N72" s="266">
        <v>-9131</v>
      </c>
      <c r="O72" s="266">
        <v>-8589</v>
      </c>
      <c r="P72" s="266">
        <v>-5934</v>
      </c>
      <c r="Q72" s="266">
        <v>-5469</v>
      </c>
      <c r="R72" s="266">
        <v>-5466</v>
      </c>
      <c r="S72" s="266">
        <v>-6764</v>
      </c>
      <c r="T72" s="266">
        <v>-9011</v>
      </c>
      <c r="U72" s="266">
        <v>-7558</v>
      </c>
      <c r="V72" s="266">
        <v>-6789</v>
      </c>
      <c r="W72" s="268" t="s">
        <v>252</v>
      </c>
    </row>
    <row r="73" spans="1:23" ht="12.75" customHeight="1" x14ac:dyDescent="0.3">
      <c r="A73" s="261" t="s">
        <v>314</v>
      </c>
      <c r="B73" s="266">
        <v>4514</v>
      </c>
      <c r="C73" s="266">
        <v>4030</v>
      </c>
      <c r="D73" s="266">
        <v>5826</v>
      </c>
      <c r="E73" s="266">
        <v>2688</v>
      </c>
      <c r="F73" s="266">
        <v>743</v>
      </c>
      <c r="G73" s="266">
        <v>-363</v>
      </c>
      <c r="H73" s="266">
        <v>-2390</v>
      </c>
      <c r="I73" s="266">
        <v>-3581</v>
      </c>
      <c r="J73" s="266">
        <v>-4325</v>
      </c>
      <c r="K73" s="266">
        <v>-4401</v>
      </c>
      <c r="L73" s="266">
        <v>-5663</v>
      </c>
      <c r="M73" s="266">
        <v>-4556</v>
      </c>
      <c r="N73" s="266">
        <v>-4167</v>
      </c>
      <c r="O73" s="266">
        <v>-5495</v>
      </c>
      <c r="P73" s="266">
        <v>-2705</v>
      </c>
      <c r="Q73" s="266">
        <v>-2721</v>
      </c>
      <c r="R73" s="266">
        <v>-4772</v>
      </c>
      <c r="S73" s="266">
        <v>-5951</v>
      </c>
      <c r="T73" s="266">
        <v>-9500</v>
      </c>
      <c r="U73" s="266">
        <v>-5998</v>
      </c>
      <c r="V73" s="266">
        <v>-5052</v>
      </c>
      <c r="W73" s="268" t="s">
        <v>314</v>
      </c>
    </row>
    <row r="74" spans="1:23" ht="6.95" customHeight="1" x14ac:dyDescent="0.3">
      <c r="A74" s="261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8"/>
    </row>
    <row r="75" spans="1:23" ht="12.75" customHeight="1" x14ac:dyDescent="0.3">
      <c r="A75" s="261" t="s">
        <v>299</v>
      </c>
      <c r="B75" s="266">
        <v>80624</v>
      </c>
      <c r="C75" s="266">
        <v>90332</v>
      </c>
      <c r="D75" s="266">
        <v>87331</v>
      </c>
      <c r="E75" s="266">
        <v>78167</v>
      </c>
      <c r="F75" s="266">
        <v>62083</v>
      </c>
      <c r="G75" s="266">
        <v>54237</v>
      </c>
      <c r="H75" s="266">
        <v>54934</v>
      </c>
      <c r="I75" s="266">
        <v>45331</v>
      </c>
      <c r="J75" s="266">
        <v>54172</v>
      </c>
      <c r="K75" s="266">
        <v>47100</v>
      </c>
      <c r="L75" s="266">
        <v>46647</v>
      </c>
      <c r="M75" s="266">
        <v>42557</v>
      </c>
      <c r="N75" s="266">
        <v>55872</v>
      </c>
      <c r="O75" s="266">
        <v>58831</v>
      </c>
      <c r="P75" s="266">
        <v>74198</v>
      </c>
      <c r="Q75" s="266">
        <v>83404</v>
      </c>
      <c r="R75" s="266">
        <v>91367</v>
      </c>
      <c r="S75" s="266">
        <v>78121</v>
      </c>
      <c r="T75" s="266">
        <v>71578</v>
      </c>
      <c r="U75" s="266">
        <v>63275</v>
      </c>
      <c r="V75" s="266">
        <v>61712</v>
      </c>
      <c r="W75" s="268" t="s">
        <v>299</v>
      </c>
    </row>
    <row r="76" spans="1:23" ht="12.75" customHeight="1" x14ac:dyDescent="0.3">
      <c r="A76" s="261" t="s">
        <v>300</v>
      </c>
      <c r="B76" s="266">
        <v>-980</v>
      </c>
      <c r="C76" s="266">
        <v>-1180</v>
      </c>
      <c r="D76" s="266">
        <v>-624</v>
      </c>
      <c r="E76" s="266">
        <v>-3163</v>
      </c>
      <c r="F76" s="266">
        <v>-7416</v>
      </c>
      <c r="G76" s="266">
        <v>-8097</v>
      </c>
      <c r="H76" s="266">
        <v>-12769</v>
      </c>
      <c r="I76" s="266">
        <v>-17420</v>
      </c>
      <c r="J76" s="266">
        <v>-16690</v>
      </c>
      <c r="K76" s="266">
        <v>-18052</v>
      </c>
      <c r="L76" s="266">
        <v>-21295</v>
      </c>
      <c r="M76" s="266">
        <v>-21496</v>
      </c>
      <c r="N76" s="266">
        <v>-19035</v>
      </c>
      <c r="O76" s="266">
        <v>-17720</v>
      </c>
      <c r="P76" s="266">
        <v>-10800</v>
      </c>
      <c r="Q76" s="266">
        <v>-9403</v>
      </c>
      <c r="R76" s="266">
        <v>-9056</v>
      </c>
      <c r="S76" s="266">
        <v>-13389</v>
      </c>
      <c r="T76" s="266">
        <v>-18539</v>
      </c>
      <c r="U76" s="266">
        <v>-15276</v>
      </c>
      <c r="V76" s="266">
        <v>-13394</v>
      </c>
      <c r="W76" s="268" t="s">
        <v>300</v>
      </c>
    </row>
    <row r="77" spans="1:23" ht="6.95" customHeight="1" x14ac:dyDescent="0.3">
      <c r="A77" s="261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64"/>
    </row>
    <row r="78" spans="1:23" ht="12.75" customHeight="1" x14ac:dyDescent="0.3">
      <c r="A78" s="257" t="s">
        <v>310</v>
      </c>
      <c r="B78" s="266">
        <v>52943</v>
      </c>
      <c r="C78" s="266">
        <v>32856</v>
      </c>
      <c r="D78" s="266">
        <v>17260</v>
      </c>
      <c r="E78" s="266">
        <v>4836</v>
      </c>
      <c r="F78" s="266">
        <v>-4123</v>
      </c>
      <c r="G78" s="266">
        <v>-2618</v>
      </c>
      <c r="H78" s="266">
        <v>-9319</v>
      </c>
      <c r="I78" s="266">
        <v>-32358</v>
      </c>
      <c r="J78" s="266">
        <v>-27646</v>
      </c>
      <c r="K78" s="266">
        <v>-30237</v>
      </c>
      <c r="L78" s="266">
        <v>-42233</v>
      </c>
      <c r="M78" s="266">
        <v>-51041</v>
      </c>
      <c r="N78" s="266">
        <v>-37447</v>
      </c>
      <c r="O78" s="266">
        <v>-24956</v>
      </c>
      <c r="P78" s="266">
        <v>-7428</v>
      </c>
      <c r="Q78" s="266">
        <v>3925</v>
      </c>
      <c r="R78" s="266">
        <v>1673</v>
      </c>
      <c r="S78" s="266">
        <v>-10881</v>
      </c>
      <c r="T78" s="266">
        <v>-15786</v>
      </c>
      <c r="U78" s="266">
        <v>-2827</v>
      </c>
      <c r="V78" s="266">
        <v>-4665</v>
      </c>
      <c r="W78" s="271" t="s">
        <v>310</v>
      </c>
    </row>
    <row r="79" spans="1:23" ht="6.95" customHeight="1" x14ac:dyDescent="0.3">
      <c r="A79" s="257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8"/>
    </row>
    <row r="80" spans="1:23" ht="12.75" customHeight="1" x14ac:dyDescent="0.3">
      <c r="A80" s="261" t="s">
        <v>263</v>
      </c>
      <c r="B80" s="258">
        <v>24169</v>
      </c>
      <c r="C80" s="258">
        <v>13471</v>
      </c>
      <c r="D80" s="258">
        <v>7451</v>
      </c>
      <c r="E80" s="258">
        <v>2277</v>
      </c>
      <c r="F80" s="258">
        <v>1272</v>
      </c>
      <c r="G80" s="258">
        <v>-15</v>
      </c>
      <c r="H80" s="258">
        <v>-1442</v>
      </c>
      <c r="I80" s="258">
        <v>-8918</v>
      </c>
      <c r="J80" s="258">
        <v>-7992</v>
      </c>
      <c r="K80" s="258">
        <v>-8505</v>
      </c>
      <c r="L80" s="258">
        <v>-12863</v>
      </c>
      <c r="M80" s="258">
        <v>-14916</v>
      </c>
      <c r="N80" s="258">
        <v>-10619</v>
      </c>
      <c r="O80" s="258">
        <v>-5480</v>
      </c>
      <c r="P80" s="258">
        <v>-98</v>
      </c>
      <c r="Q80" s="258">
        <v>2768</v>
      </c>
      <c r="R80" s="258">
        <v>2472</v>
      </c>
      <c r="S80" s="258">
        <v>-360</v>
      </c>
      <c r="T80" s="258">
        <v>-1226</v>
      </c>
      <c r="U80" s="258">
        <v>2717</v>
      </c>
      <c r="V80" s="258">
        <v>1606</v>
      </c>
      <c r="W80" s="268" t="s">
        <v>315</v>
      </c>
    </row>
    <row r="81" spans="1:23" ht="12.75" customHeight="1" x14ac:dyDescent="0.3">
      <c r="A81" s="261" t="s">
        <v>249</v>
      </c>
      <c r="B81" s="266">
        <v>10618</v>
      </c>
      <c r="C81" s="266">
        <v>7984</v>
      </c>
      <c r="D81" s="266">
        <v>5944</v>
      </c>
      <c r="E81" s="266">
        <v>3794</v>
      </c>
      <c r="F81" s="266">
        <v>2551</v>
      </c>
      <c r="G81" s="266">
        <v>2846</v>
      </c>
      <c r="H81" s="266">
        <v>2348</v>
      </c>
      <c r="I81" s="266">
        <v>-386</v>
      </c>
      <c r="J81" s="266">
        <v>1364</v>
      </c>
      <c r="K81" s="266">
        <v>370</v>
      </c>
      <c r="L81" s="266">
        <v>-200</v>
      </c>
      <c r="M81" s="266">
        <v>-1849</v>
      </c>
      <c r="N81" s="266">
        <v>-312</v>
      </c>
      <c r="O81" s="266">
        <v>468</v>
      </c>
      <c r="P81" s="266">
        <v>2123</v>
      </c>
      <c r="Q81" s="266">
        <v>3146</v>
      </c>
      <c r="R81" s="266">
        <v>2615</v>
      </c>
      <c r="S81" s="266">
        <v>621</v>
      </c>
      <c r="T81" s="266">
        <v>-349</v>
      </c>
      <c r="U81" s="266">
        <v>242</v>
      </c>
      <c r="V81" s="266">
        <v>-4</v>
      </c>
      <c r="W81" s="268" t="s">
        <v>249</v>
      </c>
    </row>
    <row r="82" spans="1:23" ht="12.75" customHeight="1" x14ac:dyDescent="0.3">
      <c r="A82" s="261" t="s">
        <v>250</v>
      </c>
      <c r="B82" s="266">
        <v>7838</v>
      </c>
      <c r="C82" s="266">
        <v>4239</v>
      </c>
      <c r="D82" s="266">
        <v>75</v>
      </c>
      <c r="E82" s="266">
        <v>-2266</v>
      </c>
      <c r="F82" s="266">
        <v>-3926</v>
      </c>
      <c r="G82" s="266">
        <v>-3636</v>
      </c>
      <c r="H82" s="266">
        <v>-5503</v>
      </c>
      <c r="I82" s="266">
        <v>-9578</v>
      </c>
      <c r="J82" s="266">
        <v>-8309</v>
      </c>
      <c r="K82" s="266">
        <v>-8315</v>
      </c>
      <c r="L82" s="266">
        <v>-12284</v>
      </c>
      <c r="M82" s="266">
        <v>-13339</v>
      </c>
      <c r="N82" s="266">
        <v>-9700</v>
      </c>
      <c r="O82" s="266">
        <v>-6352</v>
      </c>
      <c r="P82" s="266">
        <v>-1974</v>
      </c>
      <c r="Q82" s="266">
        <v>-377</v>
      </c>
      <c r="R82" s="266">
        <v>343</v>
      </c>
      <c r="S82" s="266">
        <v>-1770</v>
      </c>
      <c r="T82" s="266">
        <v>-2638</v>
      </c>
      <c r="U82" s="266">
        <v>-693</v>
      </c>
      <c r="V82" s="266">
        <v>-327</v>
      </c>
      <c r="W82" s="268" t="s">
        <v>250</v>
      </c>
    </row>
    <row r="83" spans="1:23" ht="12.75" customHeight="1" x14ac:dyDescent="0.3">
      <c r="A83" s="261" t="s">
        <v>251</v>
      </c>
      <c r="B83" s="266">
        <v>6705</v>
      </c>
      <c r="C83" s="266">
        <v>4718</v>
      </c>
      <c r="D83" s="266">
        <v>3062</v>
      </c>
      <c r="E83" s="266">
        <v>1125</v>
      </c>
      <c r="F83" s="266">
        <v>-81</v>
      </c>
      <c r="G83" s="266">
        <v>606</v>
      </c>
      <c r="H83" s="266">
        <v>-552</v>
      </c>
      <c r="I83" s="266">
        <v>-4226</v>
      </c>
      <c r="J83" s="266">
        <v>-4448</v>
      </c>
      <c r="K83" s="266">
        <v>-4824</v>
      </c>
      <c r="L83" s="266">
        <v>-6790</v>
      </c>
      <c r="M83" s="266">
        <v>-8244</v>
      </c>
      <c r="N83" s="266">
        <v>-5997</v>
      </c>
      <c r="O83" s="266">
        <v>-3925</v>
      </c>
      <c r="P83" s="266">
        <v>-1538</v>
      </c>
      <c r="Q83" s="266">
        <v>888</v>
      </c>
      <c r="R83" s="266">
        <v>313</v>
      </c>
      <c r="S83" s="266">
        <v>-1819</v>
      </c>
      <c r="T83" s="266">
        <v>-2343</v>
      </c>
      <c r="U83" s="266">
        <v>69</v>
      </c>
      <c r="V83" s="266">
        <v>-487</v>
      </c>
      <c r="W83" s="268" t="s">
        <v>251</v>
      </c>
    </row>
    <row r="84" spans="1:23" ht="12.75" customHeight="1" x14ac:dyDescent="0.3">
      <c r="A84" s="261" t="s">
        <v>252</v>
      </c>
      <c r="B84" s="266">
        <v>1690</v>
      </c>
      <c r="C84" s="266">
        <v>773</v>
      </c>
      <c r="D84" s="266">
        <v>309</v>
      </c>
      <c r="E84" s="266">
        <v>-266</v>
      </c>
      <c r="F84" s="266">
        <v>-1660</v>
      </c>
      <c r="G84" s="266">
        <v>-790</v>
      </c>
      <c r="H84" s="266">
        <v>-1813</v>
      </c>
      <c r="I84" s="266">
        <v>-4806</v>
      </c>
      <c r="J84" s="266">
        <v>-4280</v>
      </c>
      <c r="K84" s="266">
        <v>-4520</v>
      </c>
      <c r="L84" s="266">
        <v>-5468</v>
      </c>
      <c r="M84" s="266">
        <v>-6752</v>
      </c>
      <c r="N84" s="266">
        <v>-5572</v>
      </c>
      <c r="O84" s="266">
        <v>-4497</v>
      </c>
      <c r="P84" s="266">
        <v>-2756</v>
      </c>
      <c r="Q84" s="266">
        <v>-1209</v>
      </c>
      <c r="R84" s="266">
        <v>-1567</v>
      </c>
      <c r="S84" s="266">
        <v>-3060</v>
      </c>
      <c r="T84" s="266">
        <v>-3762</v>
      </c>
      <c r="U84" s="266">
        <v>-1987</v>
      </c>
      <c r="V84" s="266">
        <v>-2540</v>
      </c>
      <c r="W84" s="268" t="s">
        <v>252</v>
      </c>
    </row>
    <row r="85" spans="1:23" ht="12.75" customHeight="1" x14ac:dyDescent="0.3">
      <c r="A85" s="261" t="s">
        <v>314</v>
      </c>
      <c r="B85" s="266">
        <v>1923</v>
      </c>
      <c r="C85" s="266">
        <v>1671</v>
      </c>
      <c r="D85" s="266">
        <v>419</v>
      </c>
      <c r="E85" s="266">
        <v>172</v>
      </c>
      <c r="F85" s="266">
        <v>-2279</v>
      </c>
      <c r="G85" s="266">
        <v>-1629</v>
      </c>
      <c r="H85" s="266">
        <v>-2357</v>
      </c>
      <c r="I85" s="266">
        <v>-4444</v>
      </c>
      <c r="J85" s="266">
        <v>-3981</v>
      </c>
      <c r="K85" s="266">
        <v>-4443</v>
      </c>
      <c r="L85" s="266">
        <v>-4628</v>
      </c>
      <c r="M85" s="266">
        <v>-5941</v>
      </c>
      <c r="N85" s="266">
        <v>-5247</v>
      </c>
      <c r="O85" s="266">
        <v>-5170</v>
      </c>
      <c r="P85" s="266">
        <v>-3185</v>
      </c>
      <c r="Q85" s="266">
        <v>-1291</v>
      </c>
      <c r="R85" s="266">
        <v>-2503</v>
      </c>
      <c r="S85" s="266">
        <v>-4493</v>
      </c>
      <c r="T85" s="266">
        <v>-5468</v>
      </c>
      <c r="U85" s="266">
        <v>-3175</v>
      </c>
      <c r="V85" s="266">
        <v>-2913</v>
      </c>
      <c r="W85" s="268" t="s">
        <v>314</v>
      </c>
    </row>
    <row r="86" spans="1:23" ht="6.95" customHeight="1" x14ac:dyDescent="0.3">
      <c r="A86" s="261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8"/>
    </row>
    <row r="87" spans="1:23" ht="12.75" customHeight="1" x14ac:dyDescent="0.3">
      <c r="A87" s="261" t="s">
        <v>299</v>
      </c>
      <c r="B87" s="266">
        <v>14836</v>
      </c>
      <c r="C87" s="266">
        <v>10317</v>
      </c>
      <c r="D87" s="266">
        <v>5649</v>
      </c>
      <c r="E87" s="266">
        <v>2330</v>
      </c>
      <c r="F87" s="266">
        <v>175</v>
      </c>
      <c r="G87" s="266">
        <v>748</v>
      </c>
      <c r="H87" s="266">
        <v>-182</v>
      </c>
      <c r="I87" s="266">
        <v>-5697</v>
      </c>
      <c r="J87" s="266">
        <v>-3172</v>
      </c>
      <c r="K87" s="266">
        <v>-3889</v>
      </c>
      <c r="L87" s="266">
        <v>-6630</v>
      </c>
      <c r="M87" s="266">
        <v>-8586</v>
      </c>
      <c r="N87" s="266">
        <v>-4847</v>
      </c>
      <c r="O87" s="266">
        <v>-2286</v>
      </c>
      <c r="P87" s="266">
        <v>1498</v>
      </c>
      <c r="Q87" s="266">
        <v>3257</v>
      </c>
      <c r="R87" s="266">
        <v>2930</v>
      </c>
      <c r="S87" s="266">
        <v>-118</v>
      </c>
      <c r="T87" s="266">
        <v>-1435</v>
      </c>
      <c r="U87" s="266">
        <v>-185</v>
      </c>
      <c r="V87" s="266">
        <v>-222</v>
      </c>
      <c r="W87" s="268" t="s">
        <v>299</v>
      </c>
    </row>
    <row r="88" spans="1:23" ht="12.75" customHeight="1" x14ac:dyDescent="0.3">
      <c r="A88" s="261" t="s">
        <v>300</v>
      </c>
      <c r="B88" s="266">
        <v>8733</v>
      </c>
      <c r="C88" s="266">
        <v>5590</v>
      </c>
      <c r="D88" s="266">
        <v>3132</v>
      </c>
      <c r="E88" s="266">
        <v>672</v>
      </c>
      <c r="F88" s="266">
        <v>-2869</v>
      </c>
      <c r="G88" s="266">
        <v>-877</v>
      </c>
      <c r="H88" s="266">
        <v>-3490</v>
      </c>
      <c r="I88" s="266">
        <v>-10817</v>
      </c>
      <c r="J88" s="266">
        <v>-10555</v>
      </c>
      <c r="K88" s="266">
        <v>-11273</v>
      </c>
      <c r="L88" s="266">
        <v>-14221</v>
      </c>
      <c r="M88" s="266">
        <v>-17720</v>
      </c>
      <c r="N88" s="266">
        <v>-13984</v>
      </c>
      <c r="O88" s="266">
        <v>-10966</v>
      </c>
      <c r="P88" s="266">
        <v>-5950</v>
      </c>
      <c r="Q88" s="266">
        <v>-1347</v>
      </c>
      <c r="R88" s="266">
        <v>-2568</v>
      </c>
      <c r="S88" s="266">
        <v>-7078</v>
      </c>
      <c r="T88" s="266">
        <v>-8574</v>
      </c>
      <c r="U88" s="266">
        <v>-3728</v>
      </c>
      <c r="V88" s="266">
        <v>-4589</v>
      </c>
      <c r="W88" s="268" t="s">
        <v>300</v>
      </c>
    </row>
    <row r="89" spans="1:23" ht="6.95" customHeight="1" thickBot="1" x14ac:dyDescent="0.35">
      <c r="A89" s="227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9"/>
    </row>
    <row r="90" spans="1:23" ht="10.7" customHeight="1" x14ac:dyDescent="0.3"/>
  </sheetData>
  <mergeCells count="8">
    <mergeCell ref="A50:A52"/>
    <mergeCell ref="W50:W52"/>
    <mergeCell ref="A1:K1"/>
    <mergeCell ref="L1:W1"/>
    <mergeCell ref="A48:K48"/>
    <mergeCell ref="L48:W48"/>
    <mergeCell ref="A3:A5"/>
    <mergeCell ref="W3:W5"/>
  </mergeCells>
  <phoneticPr fontId="1" type="noConversion"/>
  <conditionalFormatting sqref="B54:V88">
    <cfRule type="cellIs" dxfId="9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66" fitToWidth="2" orientation="portrait" r:id="rId1"/>
  <colBreaks count="2" manualBreakCount="2">
    <brk id="11" max="86" man="1"/>
    <brk id="23" max="7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7"/>
  <sheetViews>
    <sheetView showGridLines="0" view="pageBreakPreview" zoomScale="115" zoomScaleNormal="85" zoomScaleSheetLayoutView="115" workbookViewId="0">
      <selection sqref="A1:M1"/>
    </sheetView>
  </sheetViews>
  <sheetFormatPr defaultRowHeight="16.5" x14ac:dyDescent="0.3"/>
  <cols>
    <col min="1" max="1" width="13.625" customWidth="1"/>
    <col min="2" max="13" width="7.875" customWidth="1"/>
  </cols>
  <sheetData>
    <row r="1" spans="1:14" ht="25.5" customHeight="1" x14ac:dyDescent="0.3">
      <c r="A1" s="272" t="s">
        <v>288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4" ht="12.75" customHeight="1" thickBot="1" x14ac:dyDescent="0.35">
      <c r="A2" s="121"/>
      <c r="B2" s="121"/>
      <c r="C2" s="121"/>
      <c r="D2" s="121"/>
      <c r="E2" s="121"/>
      <c r="F2" s="121"/>
      <c r="G2" s="121"/>
      <c r="H2" s="7"/>
      <c r="I2" s="7"/>
      <c r="J2" s="7"/>
      <c r="K2" s="7"/>
      <c r="L2" s="7"/>
      <c r="M2" s="7" t="s">
        <v>23</v>
      </c>
    </row>
    <row r="3" spans="1:14" ht="10.7" customHeight="1" x14ac:dyDescent="0.3">
      <c r="A3" s="292" t="s">
        <v>227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232"/>
    </row>
    <row r="4" spans="1:14" ht="10.7" customHeight="1" x14ac:dyDescent="0.3">
      <c r="A4" s="293"/>
      <c r="B4" s="187">
        <v>2013</v>
      </c>
      <c r="C4" s="187">
        <v>2014</v>
      </c>
      <c r="D4" s="187">
        <v>2015</v>
      </c>
      <c r="E4" s="187">
        <v>2016</v>
      </c>
      <c r="F4" s="187">
        <v>2017</v>
      </c>
      <c r="G4" s="187">
        <v>2018</v>
      </c>
      <c r="H4" s="187">
        <v>2019</v>
      </c>
      <c r="I4" s="187">
        <v>2020</v>
      </c>
      <c r="J4" s="187">
        <v>2021</v>
      </c>
      <c r="K4" s="187">
        <v>2022</v>
      </c>
      <c r="L4" s="187">
        <v>2023</v>
      </c>
      <c r="M4" s="230">
        <v>2024</v>
      </c>
      <c r="N4" s="172"/>
    </row>
    <row r="5" spans="1:14" ht="10.7" customHeight="1" thickBot="1" x14ac:dyDescent="0.35">
      <c r="A5" s="294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31"/>
    </row>
    <row r="6" spans="1:14" ht="14.65" customHeight="1" x14ac:dyDescent="0.3">
      <c r="A6" s="193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</row>
    <row r="7" spans="1:14" ht="14.65" customHeight="1" x14ac:dyDescent="0.3">
      <c r="A7" s="183" t="s">
        <v>318</v>
      </c>
      <c r="B7" s="244">
        <f>B27+B37</f>
        <v>3877137</v>
      </c>
      <c r="C7" s="244">
        <f t="shared" ref="C7:M7" si="0">C27+C37</f>
        <v>3917666</v>
      </c>
      <c r="D7" s="244">
        <f t="shared" si="0"/>
        <v>4055734</v>
      </c>
      <c r="E7" s="244">
        <f t="shared" si="0"/>
        <v>3915841</v>
      </c>
      <c r="F7" s="244">
        <f t="shared" si="0"/>
        <v>3770726</v>
      </c>
      <c r="G7" s="244">
        <f t="shared" si="0"/>
        <v>3915061</v>
      </c>
      <c r="H7" s="244">
        <f t="shared" si="0"/>
        <v>3787469</v>
      </c>
      <c r="I7" s="244">
        <f t="shared" si="0"/>
        <v>4175255</v>
      </c>
      <c r="J7" s="244">
        <f t="shared" si="0"/>
        <v>3887539</v>
      </c>
      <c r="K7" s="244">
        <f t="shared" si="0"/>
        <v>3242657</v>
      </c>
      <c r="L7" s="244">
        <f t="shared" si="0"/>
        <v>3312273</v>
      </c>
      <c r="M7" s="244">
        <f t="shared" si="0"/>
        <v>3345485</v>
      </c>
    </row>
    <row r="8" spans="1:14" ht="14.65" customHeight="1" x14ac:dyDescent="0.3">
      <c r="A8" s="179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</row>
    <row r="9" spans="1:14" ht="14.65" customHeight="1" x14ac:dyDescent="0.3">
      <c r="A9" s="179" t="s">
        <v>212</v>
      </c>
      <c r="B9" s="244">
        <f>B29+B39</f>
        <v>694944</v>
      </c>
      <c r="C9" s="244">
        <f t="shared" ref="C9:M9" si="1">C29+C39</f>
        <v>743588</v>
      </c>
      <c r="D9" s="244">
        <f t="shared" si="1"/>
        <v>774337</v>
      </c>
      <c r="E9" s="244">
        <f t="shared" si="1"/>
        <v>749558</v>
      </c>
      <c r="F9" s="244">
        <f t="shared" si="1"/>
        <v>709382</v>
      </c>
      <c r="G9" s="244">
        <f t="shared" si="1"/>
        <v>765798</v>
      </c>
      <c r="H9" s="244">
        <f t="shared" si="1"/>
        <v>772096</v>
      </c>
      <c r="I9" s="244">
        <f t="shared" si="1"/>
        <v>829181</v>
      </c>
      <c r="J9" s="244">
        <f t="shared" si="1"/>
        <v>806044</v>
      </c>
      <c r="K9" s="244">
        <f t="shared" si="1"/>
        <v>729320</v>
      </c>
      <c r="L9" s="244">
        <f t="shared" si="1"/>
        <v>722820</v>
      </c>
      <c r="M9" s="244">
        <f t="shared" si="1"/>
        <v>702752</v>
      </c>
    </row>
    <row r="10" spans="1:14" ht="14.65" customHeight="1" x14ac:dyDescent="0.3">
      <c r="A10" s="179" t="s">
        <v>213</v>
      </c>
      <c r="B10" s="244">
        <f t="shared" ref="B10:M15" si="2">B30+B40</f>
        <v>810553</v>
      </c>
      <c r="C10" s="244">
        <f t="shared" si="2"/>
        <v>856082</v>
      </c>
      <c r="D10" s="244">
        <f t="shared" si="2"/>
        <v>878205</v>
      </c>
      <c r="E10" s="244">
        <f t="shared" si="2"/>
        <v>854592</v>
      </c>
      <c r="F10" s="244">
        <f t="shared" si="2"/>
        <v>832333</v>
      </c>
      <c r="G10" s="244">
        <f t="shared" si="2"/>
        <v>862171</v>
      </c>
      <c r="H10" s="244">
        <f t="shared" si="2"/>
        <v>864878</v>
      </c>
      <c r="I10" s="244">
        <f t="shared" si="2"/>
        <v>933576</v>
      </c>
      <c r="J10" s="244">
        <f t="shared" si="2"/>
        <v>856731</v>
      </c>
      <c r="K10" s="244">
        <f t="shared" si="2"/>
        <v>748270</v>
      </c>
      <c r="L10" s="244">
        <f t="shared" si="2"/>
        <v>773936</v>
      </c>
      <c r="M10" s="244">
        <f t="shared" si="2"/>
        <v>811648</v>
      </c>
    </row>
    <row r="11" spans="1:14" ht="14.65" customHeight="1" x14ac:dyDescent="0.3">
      <c r="A11" s="179" t="s">
        <v>214</v>
      </c>
      <c r="B11" s="244">
        <f t="shared" si="2"/>
        <v>1690580</v>
      </c>
      <c r="C11" s="244">
        <f t="shared" si="2"/>
        <v>1882623</v>
      </c>
      <c r="D11" s="244">
        <f t="shared" si="2"/>
        <v>1954599</v>
      </c>
      <c r="E11" s="244">
        <f t="shared" si="2"/>
        <v>1848170</v>
      </c>
      <c r="F11" s="244">
        <f t="shared" si="2"/>
        <v>1688110</v>
      </c>
      <c r="G11" s="244">
        <f t="shared" si="2"/>
        <v>1680072</v>
      </c>
      <c r="H11" s="244">
        <f t="shared" si="2"/>
        <v>1564153</v>
      </c>
      <c r="I11" s="244">
        <f t="shared" si="2"/>
        <v>1731099</v>
      </c>
      <c r="J11" s="244">
        <f t="shared" si="2"/>
        <v>1571170</v>
      </c>
      <c r="K11" s="244">
        <f t="shared" si="2"/>
        <v>1181423</v>
      </c>
      <c r="L11" s="244">
        <f t="shared" si="2"/>
        <v>1191760</v>
      </c>
      <c r="M11" s="244">
        <f t="shared" si="2"/>
        <v>1200399</v>
      </c>
    </row>
    <row r="12" spans="1:14" ht="14.65" customHeight="1" x14ac:dyDescent="0.3">
      <c r="A12" s="179" t="s">
        <v>215</v>
      </c>
      <c r="B12" s="244">
        <f t="shared" si="2"/>
        <v>151156</v>
      </c>
      <c r="C12" s="244">
        <f t="shared" si="2"/>
        <v>154806</v>
      </c>
      <c r="D12" s="244">
        <f t="shared" si="2"/>
        <v>142577</v>
      </c>
      <c r="E12" s="244">
        <f t="shared" si="2"/>
        <v>139516</v>
      </c>
      <c r="F12" s="244">
        <f t="shared" si="2"/>
        <v>149733</v>
      </c>
      <c r="G12" s="244">
        <f t="shared" si="2"/>
        <v>155837</v>
      </c>
      <c r="H12" s="244">
        <f t="shared" si="2"/>
        <v>167990</v>
      </c>
      <c r="I12" s="244">
        <f t="shared" si="2"/>
        <v>179468</v>
      </c>
      <c r="J12" s="244">
        <f t="shared" si="2"/>
        <v>157797</v>
      </c>
      <c r="K12" s="244">
        <f t="shared" si="2"/>
        <v>162739</v>
      </c>
      <c r="L12" s="244">
        <f t="shared" si="2"/>
        <v>178482</v>
      </c>
      <c r="M12" s="244">
        <f t="shared" si="2"/>
        <v>186158</v>
      </c>
    </row>
    <row r="13" spans="1:14" ht="14.65" customHeight="1" x14ac:dyDescent="0.3">
      <c r="A13" s="179" t="s">
        <v>216</v>
      </c>
      <c r="B13" s="244">
        <f t="shared" si="2"/>
        <v>80554</v>
      </c>
      <c r="C13" s="244">
        <f t="shared" si="2"/>
        <v>96354</v>
      </c>
      <c r="D13" s="244">
        <f t="shared" si="2"/>
        <v>87524</v>
      </c>
      <c r="E13" s="244">
        <f t="shared" si="2"/>
        <v>81675</v>
      </c>
      <c r="F13" s="244">
        <f t="shared" si="2"/>
        <v>112800</v>
      </c>
      <c r="G13" s="244">
        <f t="shared" si="2"/>
        <v>137396</v>
      </c>
      <c r="H13" s="244">
        <f t="shared" si="2"/>
        <v>155480</v>
      </c>
      <c r="I13" s="244">
        <f t="shared" si="2"/>
        <v>189124</v>
      </c>
      <c r="J13" s="244">
        <f t="shared" si="2"/>
        <v>168693</v>
      </c>
      <c r="K13" s="244">
        <f t="shared" si="2"/>
        <v>148494</v>
      </c>
      <c r="L13" s="244">
        <f t="shared" si="2"/>
        <v>178887</v>
      </c>
      <c r="M13" s="244">
        <f t="shared" si="2"/>
        <v>186018</v>
      </c>
    </row>
    <row r="14" spans="1:14" ht="14.65" customHeight="1" x14ac:dyDescent="0.3">
      <c r="A14" s="179" t="s">
        <v>217</v>
      </c>
      <c r="B14" s="244">
        <f t="shared" si="2"/>
        <v>24632</v>
      </c>
      <c r="C14" s="244">
        <f t="shared" si="2"/>
        <v>26758</v>
      </c>
      <c r="D14" s="244">
        <f t="shared" si="2"/>
        <v>22669</v>
      </c>
      <c r="E14" s="244">
        <f t="shared" si="2"/>
        <v>20575</v>
      </c>
      <c r="F14" s="244">
        <f t="shared" si="2"/>
        <v>25315</v>
      </c>
      <c r="G14" s="244">
        <f t="shared" si="2"/>
        <v>27563</v>
      </c>
      <c r="H14" s="244">
        <f t="shared" si="2"/>
        <v>26940</v>
      </c>
      <c r="I14" s="244">
        <f t="shared" si="2"/>
        <v>30725</v>
      </c>
      <c r="J14" s="244">
        <f t="shared" si="2"/>
        <v>28146</v>
      </c>
      <c r="K14" s="244">
        <f t="shared" si="2"/>
        <v>22886</v>
      </c>
      <c r="L14" s="244">
        <f t="shared" si="2"/>
        <v>22877</v>
      </c>
      <c r="M14" s="244">
        <f t="shared" si="2"/>
        <v>22652</v>
      </c>
    </row>
    <row r="15" spans="1:14" ht="14.65" customHeight="1" x14ac:dyDescent="0.3">
      <c r="A15" s="179" t="s">
        <v>218</v>
      </c>
      <c r="B15" s="244">
        <f t="shared" si="2"/>
        <v>424718</v>
      </c>
      <c r="C15" s="244">
        <f t="shared" si="2"/>
        <v>157455</v>
      </c>
      <c r="D15" s="244">
        <f t="shared" si="2"/>
        <v>195823</v>
      </c>
      <c r="E15" s="244">
        <f t="shared" si="2"/>
        <v>221755</v>
      </c>
      <c r="F15" s="244">
        <f t="shared" si="2"/>
        <v>253053</v>
      </c>
      <c r="G15" s="244">
        <f t="shared" si="2"/>
        <v>286224</v>
      </c>
      <c r="H15" s="244">
        <f t="shared" si="2"/>
        <v>235932</v>
      </c>
      <c r="I15" s="244">
        <f t="shared" si="2"/>
        <v>282082</v>
      </c>
      <c r="J15" s="244">
        <f t="shared" si="2"/>
        <v>298958</v>
      </c>
      <c r="K15" s="244">
        <f t="shared" si="2"/>
        <v>249525</v>
      </c>
      <c r="L15" s="244">
        <f t="shared" si="2"/>
        <v>243511</v>
      </c>
      <c r="M15" s="244">
        <f t="shared" si="2"/>
        <v>235858</v>
      </c>
    </row>
    <row r="16" spans="1:14" ht="14.65" customHeight="1" x14ac:dyDescent="0.3">
      <c r="A16" s="179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</row>
    <row r="17" spans="1:13" ht="14.65" customHeight="1" x14ac:dyDescent="0.3">
      <c r="A17" s="183" t="s">
        <v>319</v>
      </c>
      <c r="B17" s="194">
        <f>B27+B47</f>
        <v>3881521</v>
      </c>
      <c r="C17" s="194">
        <f t="shared" ref="C17:M17" si="3">C27+C47</f>
        <v>3938777</v>
      </c>
      <c r="D17" s="194">
        <f t="shared" si="3"/>
        <v>4088684</v>
      </c>
      <c r="E17" s="194">
        <f t="shared" si="3"/>
        <v>3916704</v>
      </c>
      <c r="F17" s="194">
        <f t="shared" si="3"/>
        <v>3754720</v>
      </c>
      <c r="G17" s="194">
        <f t="shared" si="3"/>
        <v>3855264</v>
      </c>
      <c r="H17" s="194">
        <f t="shared" si="3"/>
        <v>3704728</v>
      </c>
      <c r="I17" s="194">
        <f t="shared" si="3"/>
        <v>4087480</v>
      </c>
      <c r="J17" s="194">
        <f t="shared" si="3"/>
        <v>3831842</v>
      </c>
      <c r="K17" s="194">
        <f t="shared" si="3"/>
        <v>3206014</v>
      </c>
      <c r="L17" s="194">
        <f t="shared" si="3"/>
        <v>3265404</v>
      </c>
      <c r="M17" s="194">
        <f t="shared" si="3"/>
        <v>3300316</v>
      </c>
    </row>
    <row r="18" spans="1:13" ht="14.65" customHeight="1" x14ac:dyDescent="0.3">
      <c r="A18" s="179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</row>
    <row r="19" spans="1:13" ht="14.65" customHeight="1" x14ac:dyDescent="0.3">
      <c r="A19" s="179" t="s">
        <v>212</v>
      </c>
      <c r="B19" s="194">
        <f>B29+B49</f>
        <v>688200</v>
      </c>
      <c r="C19" s="194">
        <f t="shared" ref="C19:M19" si="4">C29+C49</f>
        <v>745895</v>
      </c>
      <c r="D19" s="194">
        <f t="shared" si="4"/>
        <v>779597</v>
      </c>
      <c r="E19" s="194">
        <f t="shared" si="4"/>
        <v>733215</v>
      </c>
      <c r="F19" s="194">
        <f t="shared" si="4"/>
        <v>678859</v>
      </c>
      <c r="G19" s="194">
        <f t="shared" si="4"/>
        <v>712808</v>
      </c>
      <c r="H19" s="194">
        <f t="shared" si="4"/>
        <v>708596</v>
      </c>
      <c r="I19" s="194">
        <f t="shared" si="4"/>
        <v>758374</v>
      </c>
      <c r="J19" s="194">
        <f t="shared" si="4"/>
        <v>745775</v>
      </c>
      <c r="K19" s="194">
        <f t="shared" si="4"/>
        <v>672558</v>
      </c>
      <c r="L19" s="194">
        <f t="shared" si="4"/>
        <v>666590</v>
      </c>
      <c r="M19" s="194">
        <f t="shared" si="4"/>
        <v>648089</v>
      </c>
    </row>
    <row r="20" spans="1:13" ht="14.65" customHeight="1" x14ac:dyDescent="0.3">
      <c r="A20" s="179" t="s">
        <v>213</v>
      </c>
      <c r="B20" s="194">
        <f t="shared" ref="B20:M25" si="5">B30+B50</f>
        <v>834453</v>
      </c>
      <c r="C20" s="194">
        <f t="shared" si="5"/>
        <v>881232</v>
      </c>
      <c r="D20" s="194">
        <f t="shared" si="5"/>
        <v>903735</v>
      </c>
      <c r="E20" s="194">
        <f t="shared" si="5"/>
        <v>876857</v>
      </c>
      <c r="F20" s="194">
        <f t="shared" si="5"/>
        <v>850956</v>
      </c>
      <c r="G20" s="194">
        <f t="shared" si="5"/>
        <v>872828</v>
      </c>
      <c r="H20" s="194">
        <f t="shared" si="5"/>
        <v>872666</v>
      </c>
      <c r="I20" s="194">
        <f t="shared" si="5"/>
        <v>939432</v>
      </c>
      <c r="J20" s="194">
        <f t="shared" si="5"/>
        <v>870257</v>
      </c>
      <c r="K20" s="194">
        <f t="shared" si="5"/>
        <v>770456</v>
      </c>
      <c r="L20" s="194">
        <f t="shared" si="5"/>
        <v>791205</v>
      </c>
      <c r="M20" s="194">
        <f t="shared" si="5"/>
        <v>827159</v>
      </c>
    </row>
    <row r="21" spans="1:13" ht="14.65" customHeight="1" x14ac:dyDescent="0.3">
      <c r="A21" s="179" t="s">
        <v>214</v>
      </c>
      <c r="B21" s="194">
        <f t="shared" si="5"/>
        <v>1681881</v>
      </c>
      <c r="C21" s="194">
        <f t="shared" si="5"/>
        <v>1873564</v>
      </c>
      <c r="D21" s="194">
        <f t="shared" si="5"/>
        <v>1951232</v>
      </c>
      <c r="E21" s="194">
        <f t="shared" si="5"/>
        <v>1843299</v>
      </c>
      <c r="F21" s="194">
        <f t="shared" si="5"/>
        <v>1685875</v>
      </c>
      <c r="G21" s="194">
        <f t="shared" si="5"/>
        <v>1671854</v>
      </c>
      <c r="H21" s="194">
        <f t="shared" si="5"/>
        <v>1551813</v>
      </c>
      <c r="I21" s="194">
        <f t="shared" si="5"/>
        <v>1725946</v>
      </c>
      <c r="J21" s="194">
        <f t="shared" si="5"/>
        <v>1573925</v>
      </c>
      <c r="K21" s="194">
        <f t="shared" si="5"/>
        <v>1189079</v>
      </c>
      <c r="L21" s="194">
        <f t="shared" si="5"/>
        <v>1195944</v>
      </c>
      <c r="M21" s="194">
        <f t="shared" si="5"/>
        <v>1204524</v>
      </c>
    </row>
    <row r="22" spans="1:13" ht="14.65" customHeight="1" x14ac:dyDescent="0.3">
      <c r="A22" s="179" t="s">
        <v>215</v>
      </c>
      <c r="B22" s="194">
        <f t="shared" si="5"/>
        <v>139087</v>
      </c>
      <c r="C22" s="194">
        <f t="shared" si="5"/>
        <v>140241</v>
      </c>
      <c r="D22" s="194">
        <f t="shared" si="5"/>
        <v>129780</v>
      </c>
      <c r="E22" s="194">
        <f t="shared" si="5"/>
        <v>123522</v>
      </c>
      <c r="F22" s="194">
        <f t="shared" si="5"/>
        <v>133707</v>
      </c>
      <c r="G22" s="194">
        <f t="shared" si="5"/>
        <v>137738</v>
      </c>
      <c r="H22" s="194">
        <f t="shared" si="5"/>
        <v>146806</v>
      </c>
      <c r="I22" s="194">
        <f t="shared" si="5"/>
        <v>152724</v>
      </c>
      <c r="J22" s="194">
        <f t="shared" si="5"/>
        <v>133655</v>
      </c>
      <c r="K22" s="194">
        <f t="shared" si="5"/>
        <v>140139</v>
      </c>
      <c r="L22" s="194">
        <f t="shared" si="5"/>
        <v>158469</v>
      </c>
      <c r="M22" s="194">
        <f t="shared" si="5"/>
        <v>168127</v>
      </c>
    </row>
    <row r="23" spans="1:13" ht="14.65" customHeight="1" x14ac:dyDescent="0.3">
      <c r="A23" s="179" t="s">
        <v>216</v>
      </c>
      <c r="B23" s="194">
        <f t="shared" si="5"/>
        <v>81189</v>
      </c>
      <c r="C23" s="194">
        <f t="shared" si="5"/>
        <v>97379</v>
      </c>
      <c r="D23" s="194">
        <f t="shared" si="5"/>
        <v>88762</v>
      </c>
      <c r="E23" s="194">
        <f t="shared" si="5"/>
        <v>82745</v>
      </c>
      <c r="F23" s="194">
        <f t="shared" si="5"/>
        <v>114000</v>
      </c>
      <c r="G23" s="194">
        <f t="shared" si="5"/>
        <v>137123</v>
      </c>
      <c r="H23" s="194">
        <f t="shared" si="5"/>
        <v>153344</v>
      </c>
      <c r="I23" s="194">
        <f t="shared" si="5"/>
        <v>186280</v>
      </c>
      <c r="J23" s="194">
        <f t="shared" si="5"/>
        <v>167185</v>
      </c>
      <c r="K23" s="194">
        <f t="shared" si="5"/>
        <v>146911</v>
      </c>
      <c r="L23" s="194">
        <f t="shared" si="5"/>
        <v>176255</v>
      </c>
      <c r="M23" s="194">
        <f t="shared" si="5"/>
        <v>183082</v>
      </c>
    </row>
    <row r="24" spans="1:13" ht="14.65" customHeight="1" x14ac:dyDescent="0.3">
      <c r="A24" s="179" t="s">
        <v>217</v>
      </c>
      <c r="B24" s="194">
        <f t="shared" si="5"/>
        <v>33912</v>
      </c>
      <c r="C24" s="194">
        <f t="shared" si="5"/>
        <v>37520</v>
      </c>
      <c r="D24" s="194">
        <f t="shared" si="5"/>
        <v>33827</v>
      </c>
      <c r="E24" s="194">
        <f t="shared" si="5"/>
        <v>31151</v>
      </c>
      <c r="F24" s="194">
        <f t="shared" si="5"/>
        <v>36712</v>
      </c>
      <c r="G24" s="194">
        <f t="shared" si="5"/>
        <v>37881</v>
      </c>
      <c r="H24" s="194">
        <f t="shared" si="5"/>
        <v>37515</v>
      </c>
      <c r="I24" s="194">
        <f t="shared" si="5"/>
        <v>43420</v>
      </c>
      <c r="J24" s="194">
        <f t="shared" si="5"/>
        <v>42308</v>
      </c>
      <c r="K24" s="194">
        <f t="shared" si="5"/>
        <v>35917</v>
      </c>
      <c r="L24" s="194">
        <f t="shared" si="5"/>
        <v>33474</v>
      </c>
      <c r="M24" s="194">
        <f t="shared" si="5"/>
        <v>32806</v>
      </c>
    </row>
    <row r="25" spans="1:13" ht="14.65" customHeight="1" x14ac:dyDescent="0.3">
      <c r="A25" s="179" t="s">
        <v>218</v>
      </c>
      <c r="B25" s="194">
        <f t="shared" si="5"/>
        <v>422799</v>
      </c>
      <c r="C25" s="194">
        <f t="shared" si="5"/>
        <v>162946</v>
      </c>
      <c r="D25" s="194">
        <f t="shared" si="5"/>
        <v>201751</v>
      </c>
      <c r="E25" s="194">
        <f t="shared" si="5"/>
        <v>225915</v>
      </c>
      <c r="F25" s="194">
        <f t="shared" si="5"/>
        <v>254611</v>
      </c>
      <c r="G25" s="194">
        <f t="shared" si="5"/>
        <v>285032</v>
      </c>
      <c r="H25" s="194">
        <f t="shared" si="5"/>
        <v>233988</v>
      </c>
      <c r="I25" s="194">
        <f t="shared" si="5"/>
        <v>281304</v>
      </c>
      <c r="J25" s="194">
        <f t="shared" si="5"/>
        <v>298737</v>
      </c>
      <c r="K25" s="194">
        <f t="shared" si="5"/>
        <v>250954</v>
      </c>
      <c r="L25" s="194">
        <f t="shared" si="5"/>
        <v>243467</v>
      </c>
      <c r="M25" s="194">
        <f t="shared" si="5"/>
        <v>236529</v>
      </c>
    </row>
    <row r="26" spans="1:13" ht="14.65" customHeight="1" x14ac:dyDescent="0.3">
      <c r="A26" s="179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</row>
    <row r="27" spans="1:13" ht="14.65" customHeight="1" x14ac:dyDescent="0.3">
      <c r="A27" s="183" t="s">
        <v>270</v>
      </c>
      <c r="B27" s="194">
        <v>3430465</v>
      </c>
      <c r="C27" s="194">
        <v>3466005</v>
      </c>
      <c r="D27" s="194">
        <v>3605660</v>
      </c>
      <c r="E27" s="194">
        <v>3467775</v>
      </c>
      <c r="F27" s="194">
        <v>3323917</v>
      </c>
      <c r="G27" s="194">
        <v>3445111</v>
      </c>
      <c r="H27" s="194">
        <v>3311920</v>
      </c>
      <c r="I27" s="194">
        <v>3680532</v>
      </c>
      <c r="J27" s="194">
        <v>3416908</v>
      </c>
      <c r="K27" s="194">
        <v>2819937</v>
      </c>
      <c r="L27" s="194">
        <v>2897328</v>
      </c>
      <c r="M27" s="194">
        <v>2927466</v>
      </c>
    </row>
    <row r="28" spans="1:13" ht="14.65" customHeight="1" x14ac:dyDescent="0.3">
      <c r="A28" s="179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</row>
    <row r="29" spans="1:13" ht="14.65" customHeight="1" x14ac:dyDescent="0.3">
      <c r="A29" s="179" t="s">
        <v>212</v>
      </c>
      <c r="B29" s="194">
        <v>524901</v>
      </c>
      <c r="C29" s="194">
        <v>562674</v>
      </c>
      <c r="D29" s="194">
        <v>590061</v>
      </c>
      <c r="E29" s="194">
        <v>564285</v>
      </c>
      <c r="F29" s="194">
        <v>520479</v>
      </c>
      <c r="G29" s="194">
        <v>562962</v>
      </c>
      <c r="H29" s="194">
        <v>562408</v>
      </c>
      <c r="I29" s="194">
        <v>609220</v>
      </c>
      <c r="J29" s="194">
        <v>595226</v>
      </c>
      <c r="K29" s="194">
        <v>534739</v>
      </c>
      <c r="L29" s="194">
        <v>535806</v>
      </c>
      <c r="M29" s="194">
        <v>522036</v>
      </c>
    </row>
    <row r="30" spans="1:13" ht="14.65" customHeight="1" x14ac:dyDescent="0.3">
      <c r="A30" s="179" t="s">
        <v>213</v>
      </c>
      <c r="B30" s="194">
        <v>696195</v>
      </c>
      <c r="C30" s="194">
        <v>735040</v>
      </c>
      <c r="D30" s="194">
        <v>755918</v>
      </c>
      <c r="E30" s="194">
        <v>734388</v>
      </c>
      <c r="F30" s="194">
        <v>718756</v>
      </c>
      <c r="G30" s="194">
        <v>745046</v>
      </c>
      <c r="H30" s="194">
        <v>750622</v>
      </c>
      <c r="I30" s="194">
        <v>815987</v>
      </c>
      <c r="J30" s="194">
        <v>749471</v>
      </c>
      <c r="K30" s="194">
        <v>657605</v>
      </c>
      <c r="L30" s="194">
        <v>679307</v>
      </c>
      <c r="M30" s="194">
        <v>711222</v>
      </c>
    </row>
    <row r="31" spans="1:13" ht="14.65" customHeight="1" x14ac:dyDescent="0.3">
      <c r="A31" s="179" t="s">
        <v>214</v>
      </c>
      <c r="B31" s="194">
        <v>1614145</v>
      </c>
      <c r="C31" s="194">
        <v>1797045</v>
      </c>
      <c r="D31" s="194">
        <v>1874948</v>
      </c>
      <c r="E31" s="194">
        <v>1772954</v>
      </c>
      <c r="F31" s="194">
        <v>1618155</v>
      </c>
      <c r="G31" s="194">
        <v>1609396</v>
      </c>
      <c r="H31" s="194">
        <v>1497254</v>
      </c>
      <c r="I31" s="194">
        <v>1666815</v>
      </c>
      <c r="J31" s="194">
        <v>1510788</v>
      </c>
      <c r="K31" s="194">
        <v>1134220</v>
      </c>
      <c r="L31" s="194">
        <v>1147577</v>
      </c>
      <c r="M31" s="194">
        <v>1154955</v>
      </c>
    </row>
    <row r="32" spans="1:13" ht="14.65" customHeight="1" x14ac:dyDescent="0.3">
      <c r="A32" s="179" t="s">
        <v>215</v>
      </c>
      <c r="B32" s="194">
        <v>115521</v>
      </c>
      <c r="C32" s="194">
        <v>115262</v>
      </c>
      <c r="D32" s="194">
        <v>105325</v>
      </c>
      <c r="E32" s="194">
        <v>100722</v>
      </c>
      <c r="F32" s="194">
        <v>108349</v>
      </c>
      <c r="G32" s="194">
        <v>113967</v>
      </c>
      <c r="H32" s="194">
        <v>121242</v>
      </c>
      <c r="I32" s="194">
        <v>129180</v>
      </c>
      <c r="J32" s="194">
        <v>108055</v>
      </c>
      <c r="K32" s="194">
        <v>110402</v>
      </c>
      <c r="L32" s="194">
        <v>128348</v>
      </c>
      <c r="M32" s="194">
        <v>134275</v>
      </c>
    </row>
    <row r="33" spans="1:13" ht="14.65" customHeight="1" x14ac:dyDescent="0.3">
      <c r="A33" s="179" t="s">
        <v>216</v>
      </c>
      <c r="B33" s="194">
        <v>75716</v>
      </c>
      <c r="C33" s="194">
        <v>90174</v>
      </c>
      <c r="D33" s="194">
        <v>81828</v>
      </c>
      <c r="E33" s="194">
        <v>76422</v>
      </c>
      <c r="F33" s="194">
        <v>106084</v>
      </c>
      <c r="G33" s="194">
        <v>129000</v>
      </c>
      <c r="H33" s="194">
        <v>144825</v>
      </c>
      <c r="I33" s="194">
        <v>176577</v>
      </c>
      <c r="J33" s="194">
        <v>157037</v>
      </c>
      <c r="K33" s="194">
        <v>137516</v>
      </c>
      <c r="L33" s="194">
        <v>167019</v>
      </c>
      <c r="M33" s="194">
        <v>173287</v>
      </c>
    </row>
    <row r="34" spans="1:13" ht="14.65" customHeight="1" x14ac:dyDescent="0.3">
      <c r="A34" s="179" t="s">
        <v>217</v>
      </c>
      <c r="B34" s="194">
        <v>21898</v>
      </c>
      <c r="C34" s="194">
        <v>23833</v>
      </c>
      <c r="D34" s="194">
        <v>20200</v>
      </c>
      <c r="E34" s="194">
        <v>18311</v>
      </c>
      <c r="F34" s="194">
        <v>22534</v>
      </c>
      <c r="G34" s="194">
        <v>24528</v>
      </c>
      <c r="H34" s="194">
        <v>24245</v>
      </c>
      <c r="I34" s="194">
        <v>28062</v>
      </c>
      <c r="J34" s="194">
        <v>25762</v>
      </c>
      <c r="K34" s="194">
        <v>20768</v>
      </c>
      <c r="L34" s="194">
        <v>20735</v>
      </c>
      <c r="M34" s="194">
        <v>20549</v>
      </c>
    </row>
    <row r="35" spans="1:13" ht="14.65" customHeight="1" x14ac:dyDescent="0.3">
      <c r="A35" s="179" t="s">
        <v>218</v>
      </c>
      <c r="B35" s="194">
        <v>382089</v>
      </c>
      <c r="C35" s="194">
        <v>141977</v>
      </c>
      <c r="D35" s="194">
        <v>177380</v>
      </c>
      <c r="E35" s="194">
        <v>200693</v>
      </c>
      <c r="F35" s="194">
        <v>229560</v>
      </c>
      <c r="G35" s="194">
        <v>260212</v>
      </c>
      <c r="H35" s="194">
        <v>211324</v>
      </c>
      <c r="I35" s="194">
        <v>254691</v>
      </c>
      <c r="J35" s="194">
        <v>270569</v>
      </c>
      <c r="K35" s="194">
        <v>224687</v>
      </c>
      <c r="L35" s="194">
        <v>218536</v>
      </c>
      <c r="M35" s="194">
        <v>211142</v>
      </c>
    </row>
    <row r="36" spans="1:13" ht="14.65" customHeight="1" x14ac:dyDescent="0.3">
      <c r="A36" s="179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</row>
    <row r="37" spans="1:13" ht="14.65" customHeight="1" x14ac:dyDescent="0.3">
      <c r="A37" s="183" t="s">
        <v>271</v>
      </c>
      <c r="B37" s="194">
        <v>446672</v>
      </c>
      <c r="C37" s="194">
        <v>451661</v>
      </c>
      <c r="D37" s="194">
        <v>450074</v>
      </c>
      <c r="E37" s="194">
        <v>448066</v>
      </c>
      <c r="F37" s="194">
        <v>446809</v>
      </c>
      <c r="G37" s="194">
        <v>469950</v>
      </c>
      <c r="H37" s="194">
        <v>475549</v>
      </c>
      <c r="I37" s="194">
        <v>494723</v>
      </c>
      <c r="J37" s="194">
        <v>470631</v>
      </c>
      <c r="K37" s="194">
        <v>422720</v>
      </c>
      <c r="L37" s="194">
        <v>414945</v>
      </c>
      <c r="M37" s="194">
        <v>418019</v>
      </c>
    </row>
    <row r="38" spans="1:13" ht="14.65" customHeight="1" x14ac:dyDescent="0.3">
      <c r="A38" s="179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</row>
    <row r="39" spans="1:13" ht="14.65" customHeight="1" x14ac:dyDescent="0.3">
      <c r="A39" s="179" t="s">
        <v>212</v>
      </c>
      <c r="B39" s="194">
        <v>170043</v>
      </c>
      <c r="C39" s="194">
        <v>180914</v>
      </c>
      <c r="D39" s="194">
        <v>184276</v>
      </c>
      <c r="E39" s="194">
        <v>185273</v>
      </c>
      <c r="F39" s="194">
        <v>188903</v>
      </c>
      <c r="G39" s="194">
        <v>202836</v>
      </c>
      <c r="H39" s="194">
        <v>209688</v>
      </c>
      <c r="I39" s="194">
        <v>219961</v>
      </c>
      <c r="J39" s="194">
        <v>210818</v>
      </c>
      <c r="K39" s="194">
        <v>194581</v>
      </c>
      <c r="L39" s="194">
        <v>187014</v>
      </c>
      <c r="M39" s="194">
        <v>180716</v>
      </c>
    </row>
    <row r="40" spans="1:13" ht="14.65" customHeight="1" x14ac:dyDescent="0.3">
      <c r="A40" s="179" t="s">
        <v>213</v>
      </c>
      <c r="B40" s="194">
        <v>114358</v>
      </c>
      <c r="C40" s="194">
        <v>121042</v>
      </c>
      <c r="D40" s="194">
        <v>122287</v>
      </c>
      <c r="E40" s="194">
        <v>120204</v>
      </c>
      <c r="F40" s="194">
        <v>113577</v>
      </c>
      <c r="G40" s="194">
        <v>117125</v>
      </c>
      <c r="H40" s="194">
        <v>114256</v>
      </c>
      <c r="I40" s="194">
        <v>117589</v>
      </c>
      <c r="J40" s="194">
        <v>107260</v>
      </c>
      <c r="K40" s="194">
        <v>90665</v>
      </c>
      <c r="L40" s="194">
        <v>94629</v>
      </c>
      <c r="M40" s="194">
        <v>100426</v>
      </c>
    </row>
    <row r="41" spans="1:13" ht="14.65" customHeight="1" x14ac:dyDescent="0.3">
      <c r="A41" s="179" t="s">
        <v>214</v>
      </c>
      <c r="B41" s="194">
        <v>76435</v>
      </c>
      <c r="C41" s="194">
        <v>85578</v>
      </c>
      <c r="D41" s="194">
        <v>79651</v>
      </c>
      <c r="E41" s="194">
        <v>75216</v>
      </c>
      <c r="F41" s="194">
        <v>69955</v>
      </c>
      <c r="G41" s="194">
        <v>70676</v>
      </c>
      <c r="H41" s="194">
        <v>66899</v>
      </c>
      <c r="I41" s="194">
        <v>64284</v>
      </c>
      <c r="J41" s="194">
        <v>60382</v>
      </c>
      <c r="K41" s="194">
        <v>47203</v>
      </c>
      <c r="L41" s="194">
        <v>44183</v>
      </c>
      <c r="M41" s="194">
        <v>45444</v>
      </c>
    </row>
    <row r="42" spans="1:13" ht="14.65" customHeight="1" x14ac:dyDescent="0.3">
      <c r="A42" s="179" t="s">
        <v>215</v>
      </c>
      <c r="B42" s="194">
        <v>35635</v>
      </c>
      <c r="C42" s="194">
        <v>39544</v>
      </c>
      <c r="D42" s="194">
        <v>37252</v>
      </c>
      <c r="E42" s="194">
        <v>38794</v>
      </c>
      <c r="F42" s="194">
        <v>41384</v>
      </c>
      <c r="G42" s="194">
        <v>41870</v>
      </c>
      <c r="H42" s="194">
        <v>46748</v>
      </c>
      <c r="I42" s="194">
        <v>50288</v>
      </c>
      <c r="J42" s="194">
        <v>49742</v>
      </c>
      <c r="K42" s="194">
        <v>52337</v>
      </c>
      <c r="L42" s="194">
        <v>50134</v>
      </c>
      <c r="M42" s="194">
        <v>51883</v>
      </c>
    </row>
    <row r="43" spans="1:13" ht="14.65" customHeight="1" x14ac:dyDescent="0.3">
      <c r="A43" s="179" t="s">
        <v>216</v>
      </c>
      <c r="B43" s="194">
        <v>4838</v>
      </c>
      <c r="C43" s="194">
        <v>6180</v>
      </c>
      <c r="D43" s="194">
        <v>5696</v>
      </c>
      <c r="E43" s="194">
        <v>5253</v>
      </c>
      <c r="F43" s="194">
        <v>6716</v>
      </c>
      <c r="G43" s="194">
        <v>8396</v>
      </c>
      <c r="H43" s="194">
        <v>10655</v>
      </c>
      <c r="I43" s="194">
        <v>12547</v>
      </c>
      <c r="J43" s="194">
        <v>11656</v>
      </c>
      <c r="K43" s="194">
        <v>10978</v>
      </c>
      <c r="L43" s="194">
        <v>11868</v>
      </c>
      <c r="M43" s="194">
        <v>12731</v>
      </c>
    </row>
    <row r="44" spans="1:13" ht="14.65" customHeight="1" x14ac:dyDescent="0.3">
      <c r="A44" s="179" t="s">
        <v>217</v>
      </c>
      <c r="B44" s="194">
        <v>2734</v>
      </c>
      <c r="C44" s="194">
        <v>2925</v>
      </c>
      <c r="D44" s="194">
        <v>2469</v>
      </c>
      <c r="E44" s="194">
        <v>2264</v>
      </c>
      <c r="F44" s="194">
        <v>2781</v>
      </c>
      <c r="G44" s="194">
        <v>3035</v>
      </c>
      <c r="H44" s="194">
        <v>2695</v>
      </c>
      <c r="I44" s="194">
        <v>2663</v>
      </c>
      <c r="J44" s="194">
        <v>2384</v>
      </c>
      <c r="K44" s="194">
        <v>2118</v>
      </c>
      <c r="L44" s="194">
        <v>2142</v>
      </c>
      <c r="M44" s="194">
        <v>2103</v>
      </c>
    </row>
    <row r="45" spans="1:13" ht="14.65" customHeight="1" x14ac:dyDescent="0.3">
      <c r="A45" s="179" t="s">
        <v>218</v>
      </c>
      <c r="B45" s="194">
        <v>42629</v>
      </c>
      <c r="C45" s="194">
        <v>15478</v>
      </c>
      <c r="D45" s="194">
        <v>18443</v>
      </c>
      <c r="E45" s="194">
        <v>21062</v>
      </c>
      <c r="F45" s="194">
        <v>23493</v>
      </c>
      <c r="G45" s="194">
        <v>26012</v>
      </c>
      <c r="H45" s="194">
        <v>24608</v>
      </c>
      <c r="I45" s="194">
        <v>27391</v>
      </c>
      <c r="J45" s="194">
        <v>28389</v>
      </c>
      <c r="K45" s="194">
        <v>24838</v>
      </c>
      <c r="L45" s="194">
        <v>24975</v>
      </c>
      <c r="M45" s="194">
        <v>24716</v>
      </c>
    </row>
    <row r="46" spans="1:13" ht="14.65" customHeight="1" x14ac:dyDescent="0.3">
      <c r="A46" s="179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</row>
    <row r="47" spans="1:13" ht="14.65" customHeight="1" x14ac:dyDescent="0.3">
      <c r="A47" s="183" t="s">
        <v>272</v>
      </c>
      <c r="B47" s="194">
        <v>451056</v>
      </c>
      <c r="C47" s="194">
        <v>472772</v>
      </c>
      <c r="D47" s="194">
        <v>483024</v>
      </c>
      <c r="E47" s="194">
        <v>448929</v>
      </c>
      <c r="F47" s="194">
        <v>430803</v>
      </c>
      <c r="G47" s="194">
        <v>410153</v>
      </c>
      <c r="H47" s="194">
        <v>392808</v>
      </c>
      <c r="I47" s="194">
        <v>406948</v>
      </c>
      <c r="J47" s="194">
        <v>414934</v>
      </c>
      <c r="K47" s="194">
        <v>386077</v>
      </c>
      <c r="L47" s="194">
        <v>368076</v>
      </c>
      <c r="M47" s="194">
        <v>372850</v>
      </c>
    </row>
    <row r="48" spans="1:13" ht="14.65" customHeight="1" x14ac:dyDescent="0.3">
      <c r="A48" s="179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</row>
    <row r="49" spans="1:13" ht="14.65" customHeight="1" x14ac:dyDescent="0.3">
      <c r="A49" s="179" t="s">
        <v>212</v>
      </c>
      <c r="B49" s="194">
        <v>163299</v>
      </c>
      <c r="C49" s="194">
        <v>183221</v>
      </c>
      <c r="D49" s="194">
        <v>189536</v>
      </c>
      <c r="E49" s="194">
        <v>168930</v>
      </c>
      <c r="F49" s="194">
        <v>158380</v>
      </c>
      <c r="G49" s="194">
        <v>149846</v>
      </c>
      <c r="H49" s="194">
        <v>146188</v>
      </c>
      <c r="I49" s="194">
        <v>149154</v>
      </c>
      <c r="J49" s="194">
        <v>150549</v>
      </c>
      <c r="K49" s="194">
        <v>137819</v>
      </c>
      <c r="L49" s="194">
        <v>130784</v>
      </c>
      <c r="M49" s="194">
        <v>126053</v>
      </c>
    </row>
    <row r="50" spans="1:13" ht="14.65" customHeight="1" x14ac:dyDescent="0.3">
      <c r="A50" s="179" t="s">
        <v>213</v>
      </c>
      <c r="B50" s="194">
        <v>138258</v>
      </c>
      <c r="C50" s="194">
        <v>146192</v>
      </c>
      <c r="D50" s="194">
        <v>147817</v>
      </c>
      <c r="E50" s="194">
        <v>142469</v>
      </c>
      <c r="F50" s="194">
        <v>132200</v>
      </c>
      <c r="G50" s="194">
        <v>127782</v>
      </c>
      <c r="H50" s="194">
        <v>122044</v>
      </c>
      <c r="I50" s="194">
        <v>123445</v>
      </c>
      <c r="J50" s="194">
        <v>120786</v>
      </c>
      <c r="K50" s="194">
        <v>112851</v>
      </c>
      <c r="L50" s="194">
        <v>111898</v>
      </c>
      <c r="M50" s="194">
        <v>115937</v>
      </c>
    </row>
    <row r="51" spans="1:13" ht="14.65" customHeight="1" x14ac:dyDescent="0.3">
      <c r="A51" s="179" t="s">
        <v>214</v>
      </c>
      <c r="B51" s="194">
        <v>67736</v>
      </c>
      <c r="C51" s="194">
        <v>76519</v>
      </c>
      <c r="D51" s="194">
        <v>76284</v>
      </c>
      <c r="E51" s="194">
        <v>70345</v>
      </c>
      <c r="F51" s="194">
        <v>67720</v>
      </c>
      <c r="G51" s="194">
        <v>62458</v>
      </c>
      <c r="H51" s="194">
        <v>54559</v>
      </c>
      <c r="I51" s="194">
        <v>59131</v>
      </c>
      <c r="J51" s="194">
        <v>63137</v>
      </c>
      <c r="K51" s="194">
        <v>54859</v>
      </c>
      <c r="L51" s="194">
        <v>48367</v>
      </c>
      <c r="M51" s="194">
        <v>49569</v>
      </c>
    </row>
    <row r="52" spans="1:13" ht="14.65" customHeight="1" x14ac:dyDescent="0.3">
      <c r="A52" s="179" t="s">
        <v>215</v>
      </c>
      <c r="B52" s="194">
        <v>23566</v>
      </c>
      <c r="C52" s="194">
        <v>24979</v>
      </c>
      <c r="D52" s="194">
        <v>24455</v>
      </c>
      <c r="E52" s="194">
        <v>22800</v>
      </c>
      <c r="F52" s="194">
        <v>25358</v>
      </c>
      <c r="G52" s="194">
        <v>23771</v>
      </c>
      <c r="H52" s="194">
        <v>25564</v>
      </c>
      <c r="I52" s="194">
        <v>23544</v>
      </c>
      <c r="J52" s="194">
        <v>25600</v>
      </c>
      <c r="K52" s="194">
        <v>29737</v>
      </c>
      <c r="L52" s="194">
        <v>30121</v>
      </c>
      <c r="M52" s="194">
        <v>33852</v>
      </c>
    </row>
    <row r="53" spans="1:13" ht="14.65" customHeight="1" x14ac:dyDescent="0.3">
      <c r="A53" s="179" t="s">
        <v>216</v>
      </c>
      <c r="B53" s="194">
        <v>5473</v>
      </c>
      <c r="C53" s="194">
        <v>7205</v>
      </c>
      <c r="D53" s="194">
        <v>6934</v>
      </c>
      <c r="E53" s="194">
        <v>6323</v>
      </c>
      <c r="F53" s="194">
        <v>7916</v>
      </c>
      <c r="G53" s="194">
        <v>8123</v>
      </c>
      <c r="H53" s="194">
        <v>8519</v>
      </c>
      <c r="I53" s="194">
        <v>9703</v>
      </c>
      <c r="J53" s="194">
        <v>10148</v>
      </c>
      <c r="K53" s="194">
        <v>9395</v>
      </c>
      <c r="L53" s="194">
        <v>9236</v>
      </c>
      <c r="M53" s="194">
        <v>9795</v>
      </c>
    </row>
    <row r="54" spans="1:13" ht="14.65" customHeight="1" x14ac:dyDescent="0.3">
      <c r="A54" s="179" t="s">
        <v>217</v>
      </c>
      <c r="B54" s="194">
        <v>12014</v>
      </c>
      <c r="C54" s="194">
        <v>13687</v>
      </c>
      <c r="D54" s="194">
        <v>13627</v>
      </c>
      <c r="E54" s="194">
        <v>12840</v>
      </c>
      <c r="F54" s="194">
        <v>14178</v>
      </c>
      <c r="G54" s="194">
        <v>13353</v>
      </c>
      <c r="H54" s="194">
        <v>13270</v>
      </c>
      <c r="I54" s="194">
        <v>15358</v>
      </c>
      <c r="J54" s="194">
        <v>16546</v>
      </c>
      <c r="K54" s="194">
        <v>15149</v>
      </c>
      <c r="L54" s="194">
        <v>12739</v>
      </c>
      <c r="M54" s="194">
        <v>12257</v>
      </c>
    </row>
    <row r="55" spans="1:13" ht="14.65" customHeight="1" x14ac:dyDescent="0.3">
      <c r="A55" s="179" t="s">
        <v>218</v>
      </c>
      <c r="B55" s="194">
        <v>40710</v>
      </c>
      <c r="C55" s="194">
        <v>20969</v>
      </c>
      <c r="D55" s="194">
        <v>24371</v>
      </c>
      <c r="E55" s="194">
        <v>25222</v>
      </c>
      <c r="F55" s="194">
        <v>25051</v>
      </c>
      <c r="G55" s="194">
        <v>24820</v>
      </c>
      <c r="H55" s="194">
        <v>22664</v>
      </c>
      <c r="I55" s="194">
        <v>26613</v>
      </c>
      <c r="J55" s="194">
        <v>28168</v>
      </c>
      <c r="K55" s="194">
        <v>26267</v>
      </c>
      <c r="L55" s="194">
        <v>24931</v>
      </c>
      <c r="M55" s="194">
        <v>25387</v>
      </c>
    </row>
    <row r="56" spans="1:13" ht="14.65" customHeight="1" x14ac:dyDescent="0.3">
      <c r="A56" s="179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</row>
    <row r="57" spans="1:13" ht="14.65" customHeight="1" x14ac:dyDescent="0.3">
      <c r="A57" s="183" t="s">
        <v>273</v>
      </c>
      <c r="B57" s="194">
        <v>-4384</v>
      </c>
      <c r="C57" s="194">
        <v>-21111</v>
      </c>
      <c r="D57" s="194">
        <v>-32950</v>
      </c>
      <c r="E57" s="194">
        <v>-863</v>
      </c>
      <c r="F57" s="194">
        <v>16006</v>
      </c>
      <c r="G57" s="194">
        <v>59797</v>
      </c>
      <c r="H57" s="194">
        <v>82741</v>
      </c>
      <c r="I57" s="194">
        <v>87775</v>
      </c>
      <c r="J57" s="194">
        <v>55697</v>
      </c>
      <c r="K57" s="194">
        <v>36643</v>
      </c>
      <c r="L57" s="194">
        <v>46869</v>
      </c>
      <c r="M57" s="194">
        <v>45169</v>
      </c>
    </row>
    <row r="58" spans="1:13" ht="14.65" customHeight="1" x14ac:dyDescent="0.3">
      <c r="A58" s="179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</row>
    <row r="59" spans="1:13" ht="14.65" customHeight="1" x14ac:dyDescent="0.3">
      <c r="A59" s="179" t="s">
        <v>212</v>
      </c>
      <c r="B59" s="194">
        <v>6744</v>
      </c>
      <c r="C59" s="194">
        <v>-2307</v>
      </c>
      <c r="D59" s="194">
        <v>-5260</v>
      </c>
      <c r="E59" s="194">
        <v>16343</v>
      </c>
      <c r="F59" s="194">
        <v>30523</v>
      </c>
      <c r="G59" s="194">
        <v>52990</v>
      </c>
      <c r="H59" s="194">
        <v>63500</v>
      </c>
      <c r="I59" s="194">
        <v>70807</v>
      </c>
      <c r="J59" s="194">
        <v>60269</v>
      </c>
      <c r="K59" s="194">
        <v>56762</v>
      </c>
      <c r="L59" s="194">
        <v>56230</v>
      </c>
      <c r="M59" s="194">
        <v>54663</v>
      </c>
    </row>
    <row r="60" spans="1:13" ht="14.65" customHeight="1" x14ac:dyDescent="0.3">
      <c r="A60" s="179" t="s">
        <v>213</v>
      </c>
      <c r="B60" s="194">
        <v>-23900</v>
      </c>
      <c r="C60" s="194">
        <v>-25150</v>
      </c>
      <c r="D60" s="194">
        <v>-25530</v>
      </c>
      <c r="E60" s="194">
        <v>-22265</v>
      </c>
      <c r="F60" s="194">
        <v>-18623</v>
      </c>
      <c r="G60" s="194">
        <v>-10657</v>
      </c>
      <c r="H60" s="194">
        <v>-7788</v>
      </c>
      <c r="I60" s="194">
        <v>-5856</v>
      </c>
      <c r="J60" s="194">
        <v>-13526</v>
      </c>
      <c r="K60" s="194">
        <v>-22186</v>
      </c>
      <c r="L60" s="194">
        <v>-17269</v>
      </c>
      <c r="M60" s="194">
        <v>-15511</v>
      </c>
    </row>
    <row r="61" spans="1:13" ht="14.65" customHeight="1" x14ac:dyDescent="0.3">
      <c r="A61" s="179" t="s">
        <v>214</v>
      </c>
      <c r="B61" s="194">
        <v>8699</v>
      </c>
      <c r="C61" s="194">
        <v>9059</v>
      </c>
      <c r="D61" s="194">
        <v>3367</v>
      </c>
      <c r="E61" s="194">
        <v>4871</v>
      </c>
      <c r="F61" s="194">
        <v>2235</v>
      </c>
      <c r="G61" s="194">
        <v>8218</v>
      </c>
      <c r="H61" s="194">
        <v>12340</v>
      </c>
      <c r="I61" s="194">
        <v>5153</v>
      </c>
      <c r="J61" s="194">
        <v>-2755</v>
      </c>
      <c r="K61" s="194">
        <v>-7656</v>
      </c>
      <c r="L61" s="194">
        <v>-4184</v>
      </c>
      <c r="M61" s="194">
        <v>-4125</v>
      </c>
    </row>
    <row r="62" spans="1:13" ht="14.65" customHeight="1" x14ac:dyDescent="0.3">
      <c r="A62" s="179" t="s">
        <v>215</v>
      </c>
      <c r="B62" s="194">
        <v>12069</v>
      </c>
      <c r="C62" s="194">
        <v>14565</v>
      </c>
      <c r="D62" s="194">
        <v>12797</v>
      </c>
      <c r="E62" s="194">
        <v>15994</v>
      </c>
      <c r="F62" s="194">
        <v>16026</v>
      </c>
      <c r="G62" s="194">
        <v>18099</v>
      </c>
      <c r="H62" s="194">
        <v>21184</v>
      </c>
      <c r="I62" s="194">
        <v>26744</v>
      </c>
      <c r="J62" s="194">
        <v>24142</v>
      </c>
      <c r="K62" s="194">
        <v>22600</v>
      </c>
      <c r="L62" s="194">
        <v>20013</v>
      </c>
      <c r="M62" s="194">
        <v>18031</v>
      </c>
    </row>
    <row r="63" spans="1:13" ht="14.65" customHeight="1" x14ac:dyDescent="0.3">
      <c r="A63" s="179" t="s">
        <v>216</v>
      </c>
      <c r="B63" s="194">
        <v>-635</v>
      </c>
      <c r="C63" s="194">
        <v>-1025</v>
      </c>
      <c r="D63" s="194">
        <v>-1238</v>
      </c>
      <c r="E63" s="194">
        <v>-1070</v>
      </c>
      <c r="F63" s="194">
        <v>-1200</v>
      </c>
      <c r="G63" s="194">
        <v>273</v>
      </c>
      <c r="H63" s="194">
        <v>2136</v>
      </c>
      <c r="I63" s="194">
        <v>2844</v>
      </c>
      <c r="J63" s="194">
        <v>1508</v>
      </c>
      <c r="K63" s="194">
        <v>1583</v>
      </c>
      <c r="L63" s="194">
        <v>2632</v>
      </c>
      <c r="M63" s="194">
        <v>2936</v>
      </c>
    </row>
    <row r="64" spans="1:13" ht="14.65" customHeight="1" x14ac:dyDescent="0.3">
      <c r="A64" s="179" t="s">
        <v>217</v>
      </c>
      <c r="B64" s="194">
        <v>-9280</v>
      </c>
      <c r="C64" s="194">
        <v>-10762</v>
      </c>
      <c r="D64" s="194">
        <v>-11158</v>
      </c>
      <c r="E64" s="194">
        <v>-10576</v>
      </c>
      <c r="F64" s="194">
        <v>-11397</v>
      </c>
      <c r="G64" s="194">
        <v>-10318</v>
      </c>
      <c r="H64" s="194">
        <v>-10575</v>
      </c>
      <c r="I64" s="194">
        <v>-12695</v>
      </c>
      <c r="J64" s="194">
        <v>-14162</v>
      </c>
      <c r="K64" s="194">
        <v>-13031</v>
      </c>
      <c r="L64" s="194">
        <v>-10597</v>
      </c>
      <c r="M64" s="194">
        <v>-10154</v>
      </c>
    </row>
    <row r="65" spans="1:13" ht="14.65" customHeight="1" x14ac:dyDescent="0.3">
      <c r="A65" s="179" t="s">
        <v>218</v>
      </c>
      <c r="B65" s="194">
        <v>1919</v>
      </c>
      <c r="C65" s="194">
        <v>-5491</v>
      </c>
      <c r="D65" s="194">
        <v>-5928</v>
      </c>
      <c r="E65" s="194">
        <v>-4160</v>
      </c>
      <c r="F65" s="194">
        <v>-1558</v>
      </c>
      <c r="G65" s="194">
        <v>1192</v>
      </c>
      <c r="H65" s="194">
        <v>1944</v>
      </c>
      <c r="I65" s="194">
        <v>778</v>
      </c>
      <c r="J65" s="194">
        <v>221</v>
      </c>
      <c r="K65" s="194">
        <v>-1429</v>
      </c>
      <c r="L65" s="194">
        <v>44</v>
      </c>
      <c r="M65" s="194">
        <v>-671</v>
      </c>
    </row>
    <row r="66" spans="1:13" ht="14.65" customHeight="1" thickBot="1" x14ac:dyDescent="0.35">
      <c r="A66" s="181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</row>
    <row r="67" spans="1:13" x14ac:dyDescent="0.3">
      <c r="M67" s="172"/>
    </row>
  </sheetData>
  <mergeCells count="2">
    <mergeCell ref="A3:A5"/>
    <mergeCell ref="A1:M1"/>
  </mergeCells>
  <phoneticPr fontId="1" type="noConversion"/>
  <conditionalFormatting sqref="B7:M65">
    <cfRule type="cellIs" dxfId="8" priority="1" operator="between">
      <formula>-1000</formula>
      <formula>-999999</formula>
    </cfRule>
    <cfRule type="cellIs" dxfId="7" priority="2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74" fitToHeight="10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6"/>
  <sheetViews>
    <sheetView showGridLines="0" view="pageBreakPreview" zoomScale="115" zoomScaleNormal="85" zoomScaleSheetLayoutView="115" workbookViewId="0">
      <selection sqref="A1:M1"/>
    </sheetView>
  </sheetViews>
  <sheetFormatPr defaultRowHeight="16.5" x14ac:dyDescent="0.3"/>
  <cols>
    <col min="1" max="1" width="15.375" style="113" customWidth="1"/>
    <col min="2" max="2" width="8.375" customWidth="1"/>
    <col min="3" max="13" width="8.375" style="118" customWidth="1"/>
    <col min="14" max="16384" width="9" style="113"/>
  </cols>
  <sheetData>
    <row r="1" spans="1:13" customFormat="1" ht="25.5" customHeight="1" x14ac:dyDescent="0.3">
      <c r="A1" s="272" t="s">
        <v>289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3" customFormat="1" ht="12.75" customHeight="1" thickBot="1" x14ac:dyDescent="0.35">
      <c r="A2" s="4"/>
      <c r="B2" s="121"/>
      <c r="C2" s="4"/>
      <c r="D2" s="4"/>
      <c r="E2" s="4"/>
      <c r="F2" s="4"/>
      <c r="G2" s="4"/>
      <c r="H2" s="110"/>
      <c r="I2" s="110"/>
      <c r="J2" s="110"/>
      <c r="K2" s="110"/>
      <c r="L2" s="110"/>
      <c r="M2" s="7" t="s">
        <v>23</v>
      </c>
    </row>
    <row r="3" spans="1:13" customFormat="1" ht="10.7" customHeight="1" x14ac:dyDescent="0.3">
      <c r="A3" s="295" t="s">
        <v>291</v>
      </c>
      <c r="B3" s="188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71"/>
    </row>
    <row r="4" spans="1:13" customFormat="1" ht="10.7" customHeight="1" x14ac:dyDescent="0.3">
      <c r="A4" s="296"/>
      <c r="B4" s="187">
        <v>2013</v>
      </c>
      <c r="C4" s="164">
        <v>2014</v>
      </c>
      <c r="D4" s="164">
        <v>2015</v>
      </c>
      <c r="E4" s="164">
        <v>2016</v>
      </c>
      <c r="F4" s="164">
        <v>2017</v>
      </c>
      <c r="G4" s="164">
        <v>2018</v>
      </c>
      <c r="H4" s="164">
        <v>2019</v>
      </c>
      <c r="I4" s="164">
        <v>2020</v>
      </c>
      <c r="J4" s="164">
        <v>2021</v>
      </c>
      <c r="K4" s="164">
        <v>2022</v>
      </c>
      <c r="L4" s="164">
        <v>2023</v>
      </c>
      <c r="M4" s="146">
        <v>2024</v>
      </c>
    </row>
    <row r="5" spans="1:13" customFormat="1" ht="10.7" customHeight="1" thickBot="1" x14ac:dyDescent="0.35">
      <c r="A5" s="297"/>
      <c r="B5" s="218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</row>
    <row r="6" spans="1:13" customFormat="1" ht="10.7" customHeight="1" x14ac:dyDescent="0.3">
      <c r="A6" s="217"/>
      <c r="B6" s="242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</row>
    <row r="7" spans="1:13" customFormat="1" ht="10.7" customHeight="1" x14ac:dyDescent="0.3">
      <c r="A7" s="169" t="s">
        <v>262</v>
      </c>
      <c r="B7" s="243">
        <v>25853</v>
      </c>
      <c r="C7" s="233">
        <v>21122</v>
      </c>
      <c r="D7" s="233">
        <v>18091</v>
      </c>
      <c r="E7" s="233">
        <v>36584</v>
      </c>
      <c r="F7" s="233">
        <v>40962</v>
      </c>
      <c r="G7" s="233">
        <v>67225</v>
      </c>
      <c r="H7" s="233">
        <v>78816</v>
      </c>
      <c r="I7" s="233">
        <v>86102</v>
      </c>
      <c r="J7" s="233">
        <v>66578</v>
      </c>
      <c r="K7" s="233">
        <v>52429</v>
      </c>
      <c r="L7" s="233">
        <v>49696</v>
      </c>
      <c r="M7" s="233">
        <v>49834</v>
      </c>
    </row>
    <row r="8" spans="1:13" customFormat="1" ht="10.7" customHeight="1" x14ac:dyDescent="0.3">
      <c r="A8" s="169"/>
      <c r="B8" s="24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</row>
    <row r="9" spans="1:13" customFormat="1" ht="10.7" customHeight="1" x14ac:dyDescent="0.3">
      <c r="A9" s="168" t="s">
        <v>212</v>
      </c>
      <c r="B9" s="243">
        <v>26023</v>
      </c>
      <c r="C9" s="233">
        <v>25222</v>
      </c>
      <c r="D9" s="233">
        <v>23487</v>
      </c>
      <c r="E9" s="233">
        <v>36052</v>
      </c>
      <c r="F9" s="233">
        <v>41614</v>
      </c>
      <c r="G9" s="233">
        <v>56975</v>
      </c>
      <c r="H9" s="233">
        <v>63961</v>
      </c>
      <c r="I9" s="233">
        <v>69498</v>
      </c>
      <c r="J9" s="233">
        <v>63457</v>
      </c>
      <c r="K9" s="233">
        <v>60309</v>
      </c>
      <c r="L9" s="233">
        <v>56037</v>
      </c>
      <c r="M9" s="233">
        <v>55647</v>
      </c>
    </row>
    <row r="10" spans="1:13" customFormat="1" ht="10.7" customHeight="1" x14ac:dyDescent="0.3">
      <c r="A10" s="168" t="s">
        <v>213</v>
      </c>
      <c r="B10" s="243">
        <v>-17264</v>
      </c>
      <c r="C10" s="233">
        <v>-18133</v>
      </c>
      <c r="D10" s="233">
        <v>-16737</v>
      </c>
      <c r="E10" s="233">
        <v>-15282</v>
      </c>
      <c r="F10" s="233">
        <v>-14606</v>
      </c>
      <c r="G10" s="233">
        <v>-10391</v>
      </c>
      <c r="H10" s="233">
        <v>-9309</v>
      </c>
      <c r="I10" s="233">
        <v>-7944</v>
      </c>
      <c r="J10" s="233">
        <v>-14203</v>
      </c>
      <c r="K10" s="233">
        <v>-20468</v>
      </c>
      <c r="L10" s="233">
        <v>-17910</v>
      </c>
      <c r="M10" s="233">
        <v>-16275</v>
      </c>
    </row>
    <row r="11" spans="1:13" customFormat="1" ht="10.7" customHeight="1" x14ac:dyDescent="0.3">
      <c r="A11" s="168" t="s">
        <v>214</v>
      </c>
      <c r="B11" s="243">
        <v>7536</v>
      </c>
      <c r="C11" s="233">
        <v>9011</v>
      </c>
      <c r="D11" s="233">
        <v>7025</v>
      </c>
      <c r="E11" s="233">
        <v>7258</v>
      </c>
      <c r="F11" s="233">
        <v>4910</v>
      </c>
      <c r="G11" s="233">
        <v>6791</v>
      </c>
      <c r="H11" s="233">
        <v>7159</v>
      </c>
      <c r="I11" s="233">
        <v>2931</v>
      </c>
      <c r="J11" s="233">
        <v>-430</v>
      </c>
      <c r="K11" s="233">
        <v>-2949</v>
      </c>
      <c r="L11" s="233">
        <v>-3313</v>
      </c>
      <c r="M11" s="233">
        <v>-3521</v>
      </c>
    </row>
    <row r="12" spans="1:13" customFormat="1" ht="10.7" customHeight="1" x14ac:dyDescent="0.3">
      <c r="A12" s="168" t="s">
        <v>215</v>
      </c>
      <c r="B12" s="243">
        <v>10890</v>
      </c>
      <c r="C12" s="233">
        <v>13553</v>
      </c>
      <c r="D12" s="233">
        <v>12770</v>
      </c>
      <c r="E12" s="233">
        <v>15890</v>
      </c>
      <c r="F12" s="233">
        <v>15533</v>
      </c>
      <c r="G12" s="233">
        <v>17172</v>
      </c>
      <c r="H12" s="233">
        <v>19313</v>
      </c>
      <c r="I12" s="233">
        <v>24969</v>
      </c>
      <c r="J12" s="233">
        <v>23653</v>
      </c>
      <c r="K12" s="233">
        <v>22297</v>
      </c>
      <c r="L12" s="233">
        <v>19014</v>
      </c>
      <c r="M12" s="233">
        <v>17868</v>
      </c>
    </row>
    <row r="13" spans="1:13" customFormat="1" ht="10.7" customHeight="1" x14ac:dyDescent="0.3">
      <c r="A13" s="168" t="s">
        <v>216</v>
      </c>
      <c r="B13" s="243">
        <v>12</v>
      </c>
      <c r="C13" s="233">
        <v>74</v>
      </c>
      <c r="D13" s="233">
        <v>-95</v>
      </c>
      <c r="E13" s="233">
        <v>-111</v>
      </c>
      <c r="F13" s="233">
        <v>-161</v>
      </c>
      <c r="G13" s="233">
        <v>648</v>
      </c>
      <c r="H13" s="233">
        <v>2009</v>
      </c>
      <c r="I13" s="233">
        <v>2745</v>
      </c>
      <c r="J13" s="233">
        <v>1823</v>
      </c>
      <c r="K13" s="233">
        <v>1808</v>
      </c>
      <c r="L13" s="233">
        <v>2368</v>
      </c>
      <c r="M13" s="233">
        <v>2737</v>
      </c>
    </row>
    <row r="14" spans="1:13" customFormat="1" ht="10.7" customHeight="1" x14ac:dyDescent="0.3">
      <c r="A14" s="168" t="s">
        <v>217</v>
      </c>
      <c r="B14" s="243">
        <v>-5180</v>
      </c>
      <c r="C14" s="233">
        <v>-5940</v>
      </c>
      <c r="D14" s="233">
        <v>-6010</v>
      </c>
      <c r="E14" s="233">
        <v>-6049</v>
      </c>
      <c r="F14" s="233">
        <v>-6635</v>
      </c>
      <c r="G14" s="233">
        <v>-6241</v>
      </c>
      <c r="H14" s="233">
        <v>-6671</v>
      </c>
      <c r="I14" s="233">
        <v>-7811</v>
      </c>
      <c r="J14" s="233">
        <v>-8690</v>
      </c>
      <c r="K14" s="233">
        <v>-8482</v>
      </c>
      <c r="L14" s="233">
        <v>-7036</v>
      </c>
      <c r="M14" s="233">
        <v>-6820</v>
      </c>
    </row>
    <row r="15" spans="1:13" customFormat="1" ht="10.7" customHeight="1" x14ac:dyDescent="0.3">
      <c r="A15" s="168" t="s">
        <v>218</v>
      </c>
      <c r="B15" s="243">
        <v>3836</v>
      </c>
      <c r="C15" s="233">
        <v>-2665</v>
      </c>
      <c r="D15" s="233">
        <v>-2349</v>
      </c>
      <c r="E15" s="233">
        <v>-1174</v>
      </c>
      <c r="F15" s="233">
        <v>307</v>
      </c>
      <c r="G15" s="233">
        <v>2271</v>
      </c>
      <c r="H15" s="233">
        <v>2354</v>
      </c>
      <c r="I15" s="233">
        <v>1714</v>
      </c>
      <c r="J15" s="233">
        <v>968</v>
      </c>
      <c r="K15" s="233">
        <v>-86</v>
      </c>
      <c r="L15" s="233">
        <v>536</v>
      </c>
      <c r="M15" s="233">
        <v>198</v>
      </c>
    </row>
    <row r="16" spans="1:13" customFormat="1" ht="10.7" customHeight="1" x14ac:dyDescent="0.3">
      <c r="A16" s="168"/>
      <c r="B16" s="24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</row>
    <row r="17" spans="1:13" customFormat="1" ht="10.7" customHeight="1" x14ac:dyDescent="0.3">
      <c r="A17" s="169" t="s">
        <v>263</v>
      </c>
      <c r="B17" s="243">
        <v>2479</v>
      </c>
      <c r="C17" s="233">
        <v>3277</v>
      </c>
      <c r="D17" s="233">
        <v>3434</v>
      </c>
      <c r="E17" s="233">
        <v>5062</v>
      </c>
      <c r="F17" s="233">
        <v>4693</v>
      </c>
      <c r="G17" s="233">
        <v>5537</v>
      </c>
      <c r="H17" s="233">
        <v>6542</v>
      </c>
      <c r="I17" s="233">
        <v>6708</v>
      </c>
      <c r="J17" s="233">
        <v>6411</v>
      </c>
      <c r="K17" s="233">
        <v>7975</v>
      </c>
      <c r="L17" s="233">
        <v>6786</v>
      </c>
      <c r="M17" s="233">
        <v>6860</v>
      </c>
    </row>
    <row r="18" spans="1:13" customFormat="1" ht="10.7" customHeight="1" x14ac:dyDescent="0.3">
      <c r="A18" s="169"/>
      <c r="B18" s="24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</row>
    <row r="19" spans="1:13" customFormat="1" ht="10.7" customHeight="1" x14ac:dyDescent="0.3">
      <c r="A19" s="168" t="s">
        <v>212</v>
      </c>
      <c r="B19" s="243">
        <v>731</v>
      </c>
      <c r="C19" s="233">
        <v>809</v>
      </c>
      <c r="D19" s="233">
        <v>1029</v>
      </c>
      <c r="E19" s="233">
        <v>1258</v>
      </c>
      <c r="F19" s="233">
        <v>1097</v>
      </c>
      <c r="G19" s="233">
        <v>1339</v>
      </c>
      <c r="H19" s="233">
        <v>1473</v>
      </c>
      <c r="I19" s="233">
        <v>1785</v>
      </c>
      <c r="J19" s="233">
        <v>1518</v>
      </c>
      <c r="K19" s="233">
        <v>1601</v>
      </c>
      <c r="L19" s="233">
        <v>1454</v>
      </c>
      <c r="M19" s="233">
        <v>1420</v>
      </c>
    </row>
    <row r="20" spans="1:13" customFormat="1" ht="10.7" customHeight="1" x14ac:dyDescent="0.3">
      <c r="A20" s="168" t="s">
        <v>213</v>
      </c>
      <c r="B20" s="243">
        <v>-2145</v>
      </c>
      <c r="C20" s="233">
        <v>-2338</v>
      </c>
      <c r="D20" s="233">
        <v>-2484</v>
      </c>
      <c r="E20" s="233">
        <v>-2370</v>
      </c>
      <c r="F20" s="233">
        <v>-2584</v>
      </c>
      <c r="G20" s="233">
        <v>-2532</v>
      </c>
      <c r="H20" s="233">
        <v>-2383</v>
      </c>
      <c r="I20" s="233">
        <v>-2597</v>
      </c>
      <c r="J20" s="233">
        <v>-2562</v>
      </c>
      <c r="K20" s="233">
        <v>-2570</v>
      </c>
      <c r="L20" s="233">
        <v>-2296</v>
      </c>
      <c r="M20" s="233">
        <v>-1970</v>
      </c>
    </row>
    <row r="21" spans="1:13" customFormat="1" ht="10.7" customHeight="1" x14ac:dyDescent="0.3">
      <c r="A21" s="168" t="s">
        <v>214</v>
      </c>
      <c r="B21" s="243">
        <v>612</v>
      </c>
      <c r="C21" s="233">
        <v>707</v>
      </c>
      <c r="D21" s="233">
        <v>662</v>
      </c>
      <c r="E21" s="233">
        <v>668</v>
      </c>
      <c r="F21" s="233">
        <v>550</v>
      </c>
      <c r="G21" s="233">
        <v>569</v>
      </c>
      <c r="H21" s="233">
        <v>557</v>
      </c>
      <c r="I21" s="233">
        <v>355</v>
      </c>
      <c r="J21" s="233">
        <v>328</v>
      </c>
      <c r="K21" s="233">
        <v>354</v>
      </c>
      <c r="L21" s="233">
        <v>313</v>
      </c>
      <c r="M21" s="233">
        <v>466</v>
      </c>
    </row>
    <row r="22" spans="1:13" customFormat="1" ht="10.7" customHeight="1" x14ac:dyDescent="0.3">
      <c r="A22" s="168" t="s">
        <v>215</v>
      </c>
      <c r="B22" s="243">
        <v>2719</v>
      </c>
      <c r="C22" s="233">
        <v>3770</v>
      </c>
      <c r="D22" s="233">
        <v>3976</v>
      </c>
      <c r="E22" s="233">
        <v>5218</v>
      </c>
      <c r="F22" s="233">
        <v>5446</v>
      </c>
      <c r="G22" s="233">
        <v>5983</v>
      </c>
      <c r="H22" s="233">
        <v>6659</v>
      </c>
      <c r="I22" s="233">
        <v>7064</v>
      </c>
      <c r="J22" s="233">
        <v>7083</v>
      </c>
      <c r="K22" s="233">
        <v>8462</v>
      </c>
      <c r="L22" s="233">
        <v>7216</v>
      </c>
      <c r="M22" s="233">
        <v>6767</v>
      </c>
    </row>
    <row r="23" spans="1:13" customFormat="1" ht="10.7" customHeight="1" x14ac:dyDescent="0.3">
      <c r="A23" s="168" t="s">
        <v>216</v>
      </c>
      <c r="B23" s="243">
        <v>30</v>
      </c>
      <c r="C23" s="233">
        <v>48</v>
      </c>
      <c r="D23" s="233">
        <v>27</v>
      </c>
      <c r="E23" s="233">
        <v>102</v>
      </c>
      <c r="F23" s="233">
        <v>35</v>
      </c>
      <c r="G23" s="233">
        <v>70</v>
      </c>
      <c r="H23" s="233">
        <v>112</v>
      </c>
      <c r="I23" s="233">
        <v>126</v>
      </c>
      <c r="J23" s="233">
        <v>62</v>
      </c>
      <c r="K23" s="233">
        <v>178</v>
      </c>
      <c r="L23" s="233">
        <v>155</v>
      </c>
      <c r="M23" s="233">
        <v>153</v>
      </c>
    </row>
    <row r="24" spans="1:13" customFormat="1" ht="10.7" customHeight="1" x14ac:dyDescent="0.3">
      <c r="A24" s="168" t="s">
        <v>217</v>
      </c>
      <c r="B24" s="243">
        <v>-72</v>
      </c>
      <c r="C24" s="233">
        <v>-99</v>
      </c>
      <c r="D24" s="233">
        <v>-98</v>
      </c>
      <c r="E24" s="233">
        <v>-99</v>
      </c>
      <c r="F24" s="233">
        <v>-97</v>
      </c>
      <c r="G24" s="233">
        <v>-85</v>
      </c>
      <c r="H24" s="233">
        <v>-82</v>
      </c>
      <c r="I24" s="233">
        <v>-62</v>
      </c>
      <c r="J24" s="233">
        <v>-94</v>
      </c>
      <c r="K24" s="233">
        <v>-79</v>
      </c>
      <c r="L24" s="233">
        <v>-64</v>
      </c>
      <c r="M24" s="233">
        <v>-43</v>
      </c>
    </row>
    <row r="25" spans="1:13" customFormat="1" ht="10.7" customHeight="1" x14ac:dyDescent="0.3">
      <c r="A25" s="168" t="s">
        <v>218</v>
      </c>
      <c r="B25" s="243">
        <v>604</v>
      </c>
      <c r="C25" s="233">
        <v>380</v>
      </c>
      <c r="D25" s="233">
        <v>322</v>
      </c>
      <c r="E25" s="233">
        <v>285</v>
      </c>
      <c r="F25" s="233">
        <v>246</v>
      </c>
      <c r="G25" s="233">
        <v>193</v>
      </c>
      <c r="H25" s="233">
        <v>206</v>
      </c>
      <c r="I25" s="233">
        <v>37</v>
      </c>
      <c r="J25" s="233">
        <v>76</v>
      </c>
      <c r="K25" s="233">
        <v>29</v>
      </c>
      <c r="L25" s="233">
        <v>8</v>
      </c>
      <c r="M25" s="233">
        <v>67</v>
      </c>
    </row>
    <row r="26" spans="1:13" customFormat="1" ht="10.7" customHeight="1" x14ac:dyDescent="0.3">
      <c r="A26" s="168"/>
      <c r="B26" s="24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</row>
    <row r="27" spans="1:13" customFormat="1" ht="10.7" customHeight="1" x14ac:dyDescent="0.3">
      <c r="A27" s="169" t="s">
        <v>264</v>
      </c>
      <c r="B27" s="243">
        <v>44286</v>
      </c>
      <c r="C27" s="233">
        <v>44715</v>
      </c>
      <c r="D27" s="233">
        <v>41406</v>
      </c>
      <c r="E27" s="233">
        <v>51435</v>
      </c>
      <c r="F27" s="233">
        <v>53401</v>
      </c>
      <c r="G27" s="233">
        <v>64243</v>
      </c>
      <c r="H27" s="233">
        <v>72447</v>
      </c>
      <c r="I27" s="233">
        <v>78827</v>
      </c>
      <c r="J27" s="233">
        <v>69590</v>
      </c>
      <c r="K27" s="233">
        <v>63855</v>
      </c>
      <c r="L27" s="233">
        <v>56669</v>
      </c>
      <c r="M27" s="233">
        <v>54059</v>
      </c>
    </row>
    <row r="28" spans="1:13" customFormat="1" ht="10.7" customHeight="1" x14ac:dyDescent="0.3">
      <c r="A28" s="169"/>
      <c r="B28" s="24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</row>
    <row r="29" spans="1:13" customFormat="1" ht="10.7" customHeight="1" x14ac:dyDescent="0.3">
      <c r="A29" s="168" t="s">
        <v>212</v>
      </c>
      <c r="B29" s="243">
        <v>35061</v>
      </c>
      <c r="C29" s="233">
        <v>37121</v>
      </c>
      <c r="D29" s="233">
        <v>35553</v>
      </c>
      <c r="E29" s="233">
        <v>42188</v>
      </c>
      <c r="F29" s="233">
        <v>44684</v>
      </c>
      <c r="G29" s="233">
        <v>52760</v>
      </c>
      <c r="H29" s="233">
        <v>57785</v>
      </c>
      <c r="I29" s="233">
        <v>60271</v>
      </c>
      <c r="J29" s="233">
        <v>57821</v>
      </c>
      <c r="K29" s="233">
        <v>56444</v>
      </c>
      <c r="L29" s="233">
        <v>51181</v>
      </c>
      <c r="M29" s="233">
        <v>49190</v>
      </c>
    </row>
    <row r="30" spans="1:13" customFormat="1" ht="10.7" customHeight="1" x14ac:dyDescent="0.3">
      <c r="A30" s="168" t="s">
        <v>213</v>
      </c>
      <c r="B30" s="243">
        <v>-11072</v>
      </c>
      <c r="C30" s="233">
        <v>-11304</v>
      </c>
      <c r="D30" s="233">
        <v>-11005</v>
      </c>
      <c r="E30" s="233">
        <v>-10146</v>
      </c>
      <c r="F30" s="233">
        <v>-9992</v>
      </c>
      <c r="G30" s="233">
        <v>-9240</v>
      </c>
      <c r="H30" s="233">
        <v>-8177</v>
      </c>
      <c r="I30" s="233">
        <v>-7970</v>
      </c>
      <c r="J30" s="233">
        <v>-10953</v>
      </c>
      <c r="K30" s="233">
        <v>-11674</v>
      </c>
      <c r="L30" s="233">
        <v>-10556</v>
      </c>
      <c r="M30" s="233">
        <v>-10166</v>
      </c>
    </row>
    <row r="31" spans="1:13" customFormat="1" ht="10.7" customHeight="1" x14ac:dyDescent="0.3">
      <c r="A31" s="168" t="s">
        <v>214</v>
      </c>
      <c r="B31" s="243">
        <v>7811</v>
      </c>
      <c r="C31" s="233">
        <v>8672</v>
      </c>
      <c r="D31" s="233">
        <v>7420</v>
      </c>
      <c r="E31" s="233">
        <v>7682</v>
      </c>
      <c r="F31" s="233">
        <v>6996</v>
      </c>
      <c r="G31" s="233">
        <v>7152</v>
      </c>
      <c r="H31" s="233">
        <v>6824</v>
      </c>
      <c r="I31" s="233">
        <v>5278</v>
      </c>
      <c r="J31" s="233">
        <v>3632</v>
      </c>
      <c r="K31" s="233">
        <v>2707</v>
      </c>
      <c r="L31" s="233">
        <v>1882</v>
      </c>
      <c r="M31" s="233">
        <v>1593</v>
      </c>
    </row>
    <row r="32" spans="1:13" customFormat="1" ht="10.7" customHeight="1" x14ac:dyDescent="0.3">
      <c r="A32" s="168" t="s">
        <v>215</v>
      </c>
      <c r="B32" s="243">
        <v>8024</v>
      </c>
      <c r="C32" s="233">
        <v>9520</v>
      </c>
      <c r="D32" s="233">
        <v>8604</v>
      </c>
      <c r="E32" s="233">
        <v>10386</v>
      </c>
      <c r="F32" s="233">
        <v>9879</v>
      </c>
      <c r="G32" s="233">
        <v>10802</v>
      </c>
      <c r="H32" s="233">
        <v>12121</v>
      </c>
      <c r="I32" s="233">
        <v>17270</v>
      </c>
      <c r="J32" s="233">
        <v>16116</v>
      </c>
      <c r="K32" s="233">
        <v>13632</v>
      </c>
      <c r="L32" s="233">
        <v>11560</v>
      </c>
      <c r="M32" s="233">
        <v>10799</v>
      </c>
    </row>
    <row r="33" spans="1:13" customFormat="1" ht="10.7" customHeight="1" x14ac:dyDescent="0.3">
      <c r="A33" s="168" t="s">
        <v>216</v>
      </c>
      <c r="B33" s="243">
        <v>739</v>
      </c>
      <c r="C33" s="233">
        <v>852</v>
      </c>
      <c r="D33" s="233">
        <v>822</v>
      </c>
      <c r="E33" s="233">
        <v>849</v>
      </c>
      <c r="F33" s="233">
        <v>1040</v>
      </c>
      <c r="G33" s="233">
        <v>1380</v>
      </c>
      <c r="H33" s="233">
        <v>2274</v>
      </c>
      <c r="I33" s="233">
        <v>2650</v>
      </c>
      <c r="J33" s="233">
        <v>2083</v>
      </c>
      <c r="K33" s="233">
        <v>2140</v>
      </c>
      <c r="L33" s="233">
        <v>2284</v>
      </c>
      <c r="M33" s="233">
        <v>2532</v>
      </c>
    </row>
    <row r="34" spans="1:13" customFormat="1" ht="10.7" customHeight="1" x14ac:dyDescent="0.3">
      <c r="A34" s="168" t="s">
        <v>217</v>
      </c>
      <c r="B34" s="243">
        <v>-250</v>
      </c>
      <c r="C34" s="233">
        <v>-352</v>
      </c>
      <c r="D34" s="233">
        <v>-352</v>
      </c>
      <c r="E34" s="233">
        <v>-382</v>
      </c>
      <c r="F34" s="233">
        <v>-538</v>
      </c>
      <c r="G34" s="233">
        <v>-526</v>
      </c>
      <c r="H34" s="233">
        <v>-496</v>
      </c>
      <c r="I34" s="233">
        <v>-595</v>
      </c>
      <c r="J34" s="233">
        <v>-687</v>
      </c>
      <c r="K34" s="233">
        <v>-606</v>
      </c>
      <c r="L34" s="233">
        <v>-496</v>
      </c>
      <c r="M34" s="233">
        <v>-506</v>
      </c>
    </row>
    <row r="35" spans="1:13" customFormat="1" ht="10.7" customHeight="1" x14ac:dyDescent="0.3">
      <c r="A35" s="168" t="s">
        <v>218</v>
      </c>
      <c r="B35" s="243">
        <v>3973</v>
      </c>
      <c r="C35" s="233">
        <v>206</v>
      </c>
      <c r="D35" s="233">
        <v>364</v>
      </c>
      <c r="E35" s="233">
        <v>858</v>
      </c>
      <c r="F35" s="233">
        <v>1332</v>
      </c>
      <c r="G35" s="233">
        <v>1915</v>
      </c>
      <c r="H35" s="233">
        <v>2116</v>
      </c>
      <c r="I35" s="233">
        <v>1923</v>
      </c>
      <c r="J35" s="233">
        <v>1578</v>
      </c>
      <c r="K35" s="233">
        <v>1212</v>
      </c>
      <c r="L35" s="233">
        <v>814</v>
      </c>
      <c r="M35" s="233">
        <v>617</v>
      </c>
    </row>
    <row r="36" spans="1:13" customFormat="1" ht="10.7" customHeight="1" x14ac:dyDescent="0.3">
      <c r="A36" s="168"/>
      <c r="B36" s="24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</row>
    <row r="37" spans="1:13" customFormat="1" ht="10.7" customHeight="1" x14ac:dyDescent="0.3">
      <c r="A37" s="169" t="s">
        <v>265</v>
      </c>
      <c r="B37" s="243">
        <v>-784</v>
      </c>
      <c r="C37" s="233">
        <v>-2635</v>
      </c>
      <c r="D37" s="233">
        <v>-3485</v>
      </c>
      <c r="E37" s="233">
        <v>271</v>
      </c>
      <c r="F37" s="233">
        <v>3008</v>
      </c>
      <c r="G37" s="233">
        <v>8717</v>
      </c>
      <c r="H37" s="233">
        <v>9972</v>
      </c>
      <c r="I37" s="233">
        <v>11645</v>
      </c>
      <c r="J37" s="233">
        <v>6160</v>
      </c>
      <c r="K37" s="233">
        <v>3500</v>
      </c>
      <c r="L37" s="233">
        <v>3386</v>
      </c>
      <c r="M37" s="233">
        <v>3839</v>
      </c>
    </row>
    <row r="38" spans="1:13" customFormat="1" ht="10.7" customHeight="1" x14ac:dyDescent="0.3">
      <c r="A38" s="169"/>
      <c r="B38" s="24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</row>
    <row r="39" spans="1:13" customFormat="1" ht="10.7" customHeight="1" x14ac:dyDescent="0.3">
      <c r="A39" s="168" t="s">
        <v>212</v>
      </c>
      <c r="B39" s="243">
        <v>2364</v>
      </c>
      <c r="C39" s="233">
        <v>1489</v>
      </c>
      <c r="D39" s="233">
        <v>1308</v>
      </c>
      <c r="E39" s="233">
        <v>3721</v>
      </c>
      <c r="F39" s="233">
        <v>5451</v>
      </c>
      <c r="G39" s="233">
        <v>9185</v>
      </c>
      <c r="H39" s="233">
        <v>9706</v>
      </c>
      <c r="I39" s="233">
        <v>11876</v>
      </c>
      <c r="J39" s="233">
        <v>9167</v>
      </c>
      <c r="K39" s="233">
        <v>8401</v>
      </c>
      <c r="L39" s="233">
        <v>8219</v>
      </c>
      <c r="M39" s="233">
        <v>8956</v>
      </c>
    </row>
    <row r="40" spans="1:13" customFormat="1" ht="10.7" customHeight="1" x14ac:dyDescent="0.3">
      <c r="A40" s="168" t="s">
        <v>213</v>
      </c>
      <c r="B40" s="243">
        <v>-6092</v>
      </c>
      <c r="C40" s="233">
        <v>-6101</v>
      </c>
      <c r="D40" s="233">
        <v>-6160</v>
      </c>
      <c r="E40" s="233">
        <v>-5301</v>
      </c>
      <c r="F40" s="233">
        <v>-4164</v>
      </c>
      <c r="G40" s="233">
        <v>-2892</v>
      </c>
      <c r="H40" s="233">
        <v>-2548</v>
      </c>
      <c r="I40" s="233">
        <v>-2264</v>
      </c>
      <c r="J40" s="233">
        <v>-3710</v>
      </c>
      <c r="K40" s="233">
        <v>-4594</v>
      </c>
      <c r="L40" s="233">
        <v>-4777</v>
      </c>
      <c r="M40" s="233">
        <v>-4748</v>
      </c>
    </row>
    <row r="41" spans="1:13" customFormat="1" ht="10.7" customHeight="1" x14ac:dyDescent="0.3">
      <c r="A41" s="168" t="s">
        <v>214</v>
      </c>
      <c r="B41" s="243">
        <v>2977</v>
      </c>
      <c r="C41" s="233">
        <v>3125</v>
      </c>
      <c r="D41" s="233">
        <v>2461</v>
      </c>
      <c r="E41" s="233">
        <v>2475</v>
      </c>
      <c r="F41" s="233">
        <v>2020</v>
      </c>
      <c r="G41" s="233">
        <v>2271</v>
      </c>
      <c r="H41" s="233">
        <v>2327</v>
      </c>
      <c r="I41" s="233">
        <v>1682</v>
      </c>
      <c r="J41" s="233">
        <v>887</v>
      </c>
      <c r="K41" s="233">
        <v>214</v>
      </c>
      <c r="L41" s="233">
        <v>191</v>
      </c>
      <c r="M41" s="233">
        <v>-136</v>
      </c>
    </row>
    <row r="42" spans="1:13" customFormat="1" ht="10.7" customHeight="1" x14ac:dyDescent="0.3">
      <c r="A42" s="168" t="s">
        <v>215</v>
      </c>
      <c r="B42" s="243">
        <v>154</v>
      </c>
      <c r="C42" s="233">
        <v>167</v>
      </c>
      <c r="D42" s="233">
        <v>105</v>
      </c>
      <c r="E42" s="233">
        <v>194</v>
      </c>
      <c r="F42" s="233">
        <v>171</v>
      </c>
      <c r="G42" s="233">
        <v>214</v>
      </c>
      <c r="H42" s="233">
        <v>313</v>
      </c>
      <c r="I42" s="233">
        <v>382</v>
      </c>
      <c r="J42" s="233">
        <v>274</v>
      </c>
      <c r="K42" s="233">
        <v>136</v>
      </c>
      <c r="L42" s="233">
        <v>121</v>
      </c>
      <c r="M42" s="233">
        <v>219</v>
      </c>
    </row>
    <row r="43" spans="1:13" customFormat="1" ht="10.7" customHeight="1" x14ac:dyDescent="0.3">
      <c r="A43" s="168" t="s">
        <v>216</v>
      </c>
      <c r="B43" s="243">
        <v>98</v>
      </c>
      <c r="C43" s="233">
        <v>99</v>
      </c>
      <c r="D43" s="233">
        <v>97</v>
      </c>
      <c r="E43" s="233">
        <v>53</v>
      </c>
      <c r="F43" s="233">
        <v>137</v>
      </c>
      <c r="G43" s="233">
        <v>265</v>
      </c>
      <c r="H43" s="233">
        <v>495</v>
      </c>
      <c r="I43" s="233">
        <v>606</v>
      </c>
      <c r="J43" s="233">
        <v>449</v>
      </c>
      <c r="K43" s="233">
        <v>366</v>
      </c>
      <c r="L43" s="233">
        <v>529</v>
      </c>
      <c r="M43" s="233">
        <v>663</v>
      </c>
    </row>
    <row r="44" spans="1:13" customFormat="1" ht="10.7" customHeight="1" x14ac:dyDescent="0.3">
      <c r="A44" s="168" t="s">
        <v>217</v>
      </c>
      <c r="B44" s="243">
        <v>-619</v>
      </c>
      <c r="C44" s="233">
        <v>-625</v>
      </c>
      <c r="D44" s="233">
        <v>-656</v>
      </c>
      <c r="E44" s="233">
        <v>-577</v>
      </c>
      <c r="F44" s="233">
        <v>-702</v>
      </c>
      <c r="G44" s="233">
        <v>-678</v>
      </c>
      <c r="H44" s="233">
        <v>-675</v>
      </c>
      <c r="I44" s="233">
        <v>-883</v>
      </c>
      <c r="J44" s="233">
        <v>-963</v>
      </c>
      <c r="K44" s="233">
        <v>-851</v>
      </c>
      <c r="L44" s="233">
        <v>-674</v>
      </c>
      <c r="M44" s="233">
        <v>-668</v>
      </c>
    </row>
    <row r="45" spans="1:13" customFormat="1" ht="10.7" customHeight="1" x14ac:dyDescent="0.3">
      <c r="A45" s="168" t="s">
        <v>218</v>
      </c>
      <c r="B45" s="243">
        <v>334</v>
      </c>
      <c r="C45" s="233">
        <v>-789</v>
      </c>
      <c r="D45" s="233">
        <v>-640</v>
      </c>
      <c r="E45" s="233">
        <v>-294</v>
      </c>
      <c r="F45" s="233">
        <v>95</v>
      </c>
      <c r="G45" s="233">
        <v>352</v>
      </c>
      <c r="H45" s="233">
        <v>354</v>
      </c>
      <c r="I45" s="233">
        <v>246</v>
      </c>
      <c r="J45" s="233">
        <v>56</v>
      </c>
      <c r="K45" s="233">
        <v>-172</v>
      </c>
      <c r="L45" s="233">
        <v>-223</v>
      </c>
      <c r="M45" s="233">
        <v>-447</v>
      </c>
    </row>
    <row r="46" spans="1:13" customFormat="1" ht="10.7" customHeight="1" x14ac:dyDescent="0.3">
      <c r="A46" s="168"/>
      <c r="B46" s="24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</row>
    <row r="47" spans="1:13" customFormat="1" ht="10.7" customHeight="1" x14ac:dyDescent="0.3">
      <c r="A47" s="169" t="s">
        <v>266</v>
      </c>
      <c r="B47" s="243">
        <v>-8210</v>
      </c>
      <c r="C47" s="233">
        <v>-9545</v>
      </c>
      <c r="D47" s="233">
        <v>-9247</v>
      </c>
      <c r="E47" s="233">
        <v>-6886</v>
      </c>
      <c r="F47" s="233">
        <v>-6056</v>
      </c>
      <c r="G47" s="233">
        <v>-2633</v>
      </c>
      <c r="H47" s="233">
        <v>-1955</v>
      </c>
      <c r="I47" s="233">
        <v>-840</v>
      </c>
      <c r="J47" s="233">
        <v>-2868</v>
      </c>
      <c r="K47" s="233">
        <v>-4390</v>
      </c>
      <c r="L47" s="233">
        <v>-3589</v>
      </c>
      <c r="M47" s="233">
        <v>-3083</v>
      </c>
    </row>
    <row r="48" spans="1:13" customFormat="1" ht="10.7" customHeight="1" x14ac:dyDescent="0.3">
      <c r="A48" s="169"/>
      <c r="B48" s="24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</row>
    <row r="49" spans="1:13" customFormat="1" ht="10.7" customHeight="1" x14ac:dyDescent="0.3">
      <c r="A49" s="168" t="s">
        <v>212</v>
      </c>
      <c r="B49" s="243">
        <v>-5608</v>
      </c>
      <c r="C49" s="233">
        <v>-6508</v>
      </c>
      <c r="D49" s="233">
        <v>-6217</v>
      </c>
      <c r="E49" s="233">
        <v>-4043</v>
      </c>
      <c r="F49" s="233">
        <v>-3197</v>
      </c>
      <c r="G49" s="233">
        <v>-1407</v>
      </c>
      <c r="H49" s="233">
        <v>-505</v>
      </c>
      <c r="I49" s="233">
        <v>496</v>
      </c>
      <c r="J49" s="233">
        <v>-244</v>
      </c>
      <c r="K49" s="233">
        <v>-205</v>
      </c>
      <c r="L49" s="233">
        <v>-405</v>
      </c>
      <c r="M49" s="233">
        <v>25</v>
      </c>
    </row>
    <row r="50" spans="1:13" customFormat="1" ht="10.7" customHeight="1" x14ac:dyDescent="0.3">
      <c r="A50" s="168" t="s">
        <v>213</v>
      </c>
      <c r="B50" s="243">
        <v>-1067</v>
      </c>
      <c r="C50" s="233">
        <v>-1051</v>
      </c>
      <c r="D50" s="233">
        <v>-1208</v>
      </c>
      <c r="E50" s="233">
        <v>-1545</v>
      </c>
      <c r="F50" s="233">
        <v>-1190</v>
      </c>
      <c r="G50" s="233">
        <v>-585</v>
      </c>
      <c r="H50" s="233">
        <v>-853</v>
      </c>
      <c r="I50" s="233">
        <v>-176</v>
      </c>
      <c r="J50" s="233">
        <v>-897</v>
      </c>
      <c r="K50" s="233">
        <v>-1876</v>
      </c>
      <c r="L50" s="233">
        <v>-1467</v>
      </c>
      <c r="M50" s="233">
        <v>-1260</v>
      </c>
    </row>
    <row r="51" spans="1:13" customFormat="1" ht="10.7" customHeight="1" x14ac:dyDescent="0.3">
      <c r="A51" s="168" t="s">
        <v>214</v>
      </c>
      <c r="B51" s="243">
        <v>142</v>
      </c>
      <c r="C51" s="233">
        <v>120</v>
      </c>
      <c r="D51" s="233">
        <v>162</v>
      </c>
      <c r="E51" s="233">
        <v>339</v>
      </c>
      <c r="F51" s="233">
        <v>-57</v>
      </c>
      <c r="G51" s="233">
        <v>434</v>
      </c>
      <c r="H51" s="233">
        <v>309</v>
      </c>
      <c r="I51" s="233">
        <v>36</v>
      </c>
      <c r="J51" s="233">
        <v>-268</v>
      </c>
      <c r="K51" s="233">
        <v>-773</v>
      </c>
      <c r="L51" s="233">
        <v>-667</v>
      </c>
      <c r="M51" s="233">
        <v>-697</v>
      </c>
    </row>
    <row r="52" spans="1:13" customFormat="1" ht="10.7" customHeight="1" x14ac:dyDescent="0.3">
      <c r="A52" s="168" t="s">
        <v>215</v>
      </c>
      <c r="B52" s="243">
        <v>-28</v>
      </c>
      <c r="C52" s="233">
        <v>29</v>
      </c>
      <c r="D52" s="233">
        <v>22</v>
      </c>
      <c r="E52" s="233">
        <v>78</v>
      </c>
      <c r="F52" s="233">
        <v>8</v>
      </c>
      <c r="G52" s="233">
        <v>80</v>
      </c>
      <c r="H52" s="233">
        <v>112</v>
      </c>
      <c r="I52" s="233">
        <v>73</v>
      </c>
      <c r="J52" s="233">
        <v>28</v>
      </c>
      <c r="K52" s="233">
        <v>-2</v>
      </c>
      <c r="L52" s="233">
        <v>58</v>
      </c>
      <c r="M52" s="233">
        <v>30</v>
      </c>
    </row>
    <row r="53" spans="1:13" customFormat="1" ht="10.7" customHeight="1" x14ac:dyDescent="0.3">
      <c r="A53" s="168" t="s">
        <v>216</v>
      </c>
      <c r="B53" s="243">
        <v>-103</v>
      </c>
      <c r="C53" s="233">
        <v>-155</v>
      </c>
      <c r="D53" s="233">
        <v>-150</v>
      </c>
      <c r="E53" s="233">
        <v>-167</v>
      </c>
      <c r="F53" s="233">
        <v>-153</v>
      </c>
      <c r="G53" s="233">
        <v>-92</v>
      </c>
      <c r="H53" s="233">
        <v>-45</v>
      </c>
      <c r="I53" s="233">
        <v>69</v>
      </c>
      <c r="J53" s="233">
        <v>-36</v>
      </c>
      <c r="K53" s="233">
        <v>-73</v>
      </c>
      <c r="L53" s="233">
        <v>63</v>
      </c>
      <c r="M53" s="233">
        <v>-6</v>
      </c>
    </row>
    <row r="54" spans="1:13" customFormat="1" ht="10.7" customHeight="1" x14ac:dyDescent="0.3">
      <c r="A54" s="168" t="s">
        <v>217</v>
      </c>
      <c r="B54" s="243">
        <v>-945</v>
      </c>
      <c r="C54" s="233">
        <v>-1124</v>
      </c>
      <c r="D54" s="233">
        <v>-1028</v>
      </c>
      <c r="E54" s="233">
        <v>-999</v>
      </c>
      <c r="F54" s="233">
        <v>-1041</v>
      </c>
      <c r="G54" s="233">
        <v>-974</v>
      </c>
      <c r="H54" s="233">
        <v>-1008</v>
      </c>
      <c r="I54" s="233">
        <v>-1196</v>
      </c>
      <c r="J54" s="233">
        <v>-1233</v>
      </c>
      <c r="K54" s="233">
        <v>-1079</v>
      </c>
      <c r="L54" s="233">
        <v>-925</v>
      </c>
      <c r="M54" s="233">
        <v>-903</v>
      </c>
    </row>
    <row r="55" spans="1:13" customFormat="1" ht="10.7" customHeight="1" x14ac:dyDescent="0.3">
      <c r="A55" s="168" t="s">
        <v>218</v>
      </c>
      <c r="B55" s="243">
        <v>-601</v>
      </c>
      <c r="C55" s="233">
        <v>-856</v>
      </c>
      <c r="D55" s="233">
        <v>-828</v>
      </c>
      <c r="E55" s="233">
        <v>-549</v>
      </c>
      <c r="F55" s="233">
        <v>-426</v>
      </c>
      <c r="G55" s="233">
        <v>-89</v>
      </c>
      <c r="H55" s="233">
        <v>35</v>
      </c>
      <c r="I55" s="233">
        <v>-142</v>
      </c>
      <c r="J55" s="233">
        <v>-218</v>
      </c>
      <c r="K55" s="233">
        <v>-382</v>
      </c>
      <c r="L55" s="233">
        <v>-246</v>
      </c>
      <c r="M55" s="233">
        <v>-272</v>
      </c>
    </row>
    <row r="56" spans="1:13" customFormat="1" ht="10.7" customHeight="1" x14ac:dyDescent="0.3">
      <c r="A56" s="168"/>
      <c r="B56" s="24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</row>
    <row r="57" spans="1:13" customFormat="1" ht="10.7" customHeight="1" x14ac:dyDescent="0.3">
      <c r="A57" s="169" t="s">
        <v>267</v>
      </c>
      <c r="B57" s="243">
        <v>-7517</v>
      </c>
      <c r="C57" s="233">
        <v>-9027</v>
      </c>
      <c r="D57" s="233">
        <v>-9461</v>
      </c>
      <c r="E57" s="233">
        <v>-9131</v>
      </c>
      <c r="F57" s="233">
        <v>-8589</v>
      </c>
      <c r="G57" s="233">
        <v>-5934</v>
      </c>
      <c r="H57" s="233">
        <v>-5469</v>
      </c>
      <c r="I57" s="233">
        <v>-5466</v>
      </c>
      <c r="J57" s="233">
        <v>-6764</v>
      </c>
      <c r="K57" s="233">
        <v>-9011</v>
      </c>
      <c r="L57" s="233">
        <v>-7558</v>
      </c>
      <c r="M57" s="233">
        <v>-6789</v>
      </c>
    </row>
    <row r="58" spans="1:13" customFormat="1" ht="10.7" customHeight="1" x14ac:dyDescent="0.3">
      <c r="A58" s="169"/>
      <c r="B58" s="24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</row>
    <row r="59" spans="1:13" customFormat="1" ht="10.7" customHeight="1" x14ac:dyDescent="0.3">
      <c r="A59" s="168" t="s">
        <v>212</v>
      </c>
      <c r="B59" s="243">
        <v>-4891</v>
      </c>
      <c r="C59" s="233">
        <v>-5694</v>
      </c>
      <c r="D59" s="233">
        <v>-6070</v>
      </c>
      <c r="E59" s="233">
        <v>-5166</v>
      </c>
      <c r="F59" s="233">
        <v>-4576</v>
      </c>
      <c r="G59" s="233">
        <v>-3311</v>
      </c>
      <c r="H59" s="233">
        <v>-3054</v>
      </c>
      <c r="I59" s="233">
        <v>-3030</v>
      </c>
      <c r="J59" s="233">
        <v>-2795</v>
      </c>
      <c r="K59" s="233">
        <v>-3455</v>
      </c>
      <c r="L59" s="233">
        <v>-2738</v>
      </c>
      <c r="M59" s="233">
        <v>-2296</v>
      </c>
    </row>
    <row r="60" spans="1:13" customFormat="1" ht="10.7" customHeight="1" x14ac:dyDescent="0.3">
      <c r="A60" s="168" t="s">
        <v>213</v>
      </c>
      <c r="B60" s="243">
        <v>683</v>
      </c>
      <c r="C60" s="233">
        <v>377</v>
      </c>
      <c r="D60" s="233">
        <v>633</v>
      </c>
      <c r="E60" s="233">
        <v>313</v>
      </c>
      <c r="F60" s="233">
        <v>488</v>
      </c>
      <c r="G60" s="233">
        <v>1046</v>
      </c>
      <c r="H60" s="233">
        <v>970</v>
      </c>
      <c r="I60" s="233">
        <v>1239</v>
      </c>
      <c r="J60" s="233">
        <v>540</v>
      </c>
      <c r="K60" s="233">
        <v>-462</v>
      </c>
      <c r="L60" s="233">
        <v>-259</v>
      </c>
      <c r="M60" s="233">
        <v>-454</v>
      </c>
    </row>
    <row r="61" spans="1:13" customFormat="1" ht="10.7" customHeight="1" x14ac:dyDescent="0.3">
      <c r="A61" s="168" t="s">
        <v>214</v>
      </c>
      <c r="B61" s="243">
        <v>-995</v>
      </c>
      <c r="C61" s="233">
        <v>-813</v>
      </c>
      <c r="D61" s="233">
        <v>-996</v>
      </c>
      <c r="E61" s="233">
        <v>-1156</v>
      </c>
      <c r="F61" s="233">
        <v>-1534</v>
      </c>
      <c r="G61" s="233">
        <v>-1080</v>
      </c>
      <c r="H61" s="233">
        <v>-862</v>
      </c>
      <c r="I61" s="233">
        <v>-1148</v>
      </c>
      <c r="J61" s="233">
        <v>-1737</v>
      </c>
      <c r="K61" s="233">
        <v>-1983</v>
      </c>
      <c r="L61" s="233">
        <v>-1951</v>
      </c>
      <c r="M61" s="233">
        <v>-1660</v>
      </c>
    </row>
    <row r="62" spans="1:13" customFormat="1" ht="10.7" customHeight="1" x14ac:dyDescent="0.3">
      <c r="A62" s="168" t="s">
        <v>215</v>
      </c>
      <c r="B62" s="243">
        <v>2</v>
      </c>
      <c r="C62" s="233">
        <v>41</v>
      </c>
      <c r="D62" s="233">
        <v>35</v>
      </c>
      <c r="E62" s="233">
        <v>15</v>
      </c>
      <c r="F62" s="233">
        <v>21</v>
      </c>
      <c r="G62" s="233">
        <v>58</v>
      </c>
      <c r="H62" s="233">
        <v>42</v>
      </c>
      <c r="I62" s="233">
        <v>121</v>
      </c>
      <c r="J62" s="233">
        <v>100</v>
      </c>
      <c r="K62" s="233">
        <v>42</v>
      </c>
      <c r="L62" s="233">
        <v>28</v>
      </c>
      <c r="M62" s="233">
        <v>4</v>
      </c>
    </row>
    <row r="63" spans="1:13" customFormat="1" ht="10.7" customHeight="1" x14ac:dyDescent="0.3">
      <c r="A63" s="168" t="s">
        <v>216</v>
      </c>
      <c r="B63" s="243">
        <v>-342</v>
      </c>
      <c r="C63" s="233">
        <v>-336</v>
      </c>
      <c r="D63" s="233">
        <v>-324</v>
      </c>
      <c r="E63" s="233">
        <v>-392</v>
      </c>
      <c r="F63" s="233">
        <v>-450</v>
      </c>
      <c r="G63" s="233">
        <v>-437</v>
      </c>
      <c r="H63" s="233">
        <v>-318</v>
      </c>
      <c r="I63" s="233">
        <v>-256</v>
      </c>
      <c r="J63" s="233">
        <v>-223</v>
      </c>
      <c r="K63" s="233">
        <v>-337</v>
      </c>
      <c r="L63" s="233">
        <v>-270</v>
      </c>
      <c r="M63" s="233">
        <v>-179</v>
      </c>
    </row>
    <row r="64" spans="1:13" customFormat="1" ht="10.7" customHeight="1" x14ac:dyDescent="0.3">
      <c r="A64" s="168" t="s">
        <v>217</v>
      </c>
      <c r="B64" s="243">
        <v>-1522</v>
      </c>
      <c r="C64" s="233">
        <v>-1724</v>
      </c>
      <c r="D64" s="233">
        <v>-1785</v>
      </c>
      <c r="E64" s="233">
        <v>-1790</v>
      </c>
      <c r="F64" s="233">
        <v>-1954</v>
      </c>
      <c r="G64" s="233">
        <v>-1855</v>
      </c>
      <c r="H64" s="233">
        <v>-1867</v>
      </c>
      <c r="I64" s="233">
        <v>-2006</v>
      </c>
      <c r="J64" s="233">
        <v>-2235</v>
      </c>
      <c r="K64" s="233">
        <v>-2312</v>
      </c>
      <c r="L64" s="233">
        <v>-1934</v>
      </c>
      <c r="M64" s="233">
        <v>-1811</v>
      </c>
    </row>
    <row r="65" spans="1:13" customFormat="1" ht="10.7" customHeight="1" x14ac:dyDescent="0.3">
      <c r="A65" s="168" t="s">
        <v>218</v>
      </c>
      <c r="B65" s="243">
        <v>-452</v>
      </c>
      <c r="C65" s="233">
        <v>-878</v>
      </c>
      <c r="D65" s="233">
        <v>-954</v>
      </c>
      <c r="E65" s="233">
        <v>-955</v>
      </c>
      <c r="F65" s="233">
        <v>-584</v>
      </c>
      <c r="G65" s="233">
        <v>-355</v>
      </c>
      <c r="H65" s="233">
        <v>-380</v>
      </c>
      <c r="I65" s="233">
        <v>-386</v>
      </c>
      <c r="J65" s="233">
        <v>-414</v>
      </c>
      <c r="K65" s="233">
        <v>-504</v>
      </c>
      <c r="L65" s="233">
        <v>-434</v>
      </c>
      <c r="M65" s="233">
        <v>-393</v>
      </c>
    </row>
    <row r="66" spans="1:13" customFormat="1" ht="10.7" customHeight="1" x14ac:dyDescent="0.3">
      <c r="A66" s="168"/>
      <c r="B66" s="24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</row>
    <row r="67" spans="1:13" customFormat="1" ht="10.7" customHeight="1" x14ac:dyDescent="0.3">
      <c r="A67" s="169" t="s">
        <v>268</v>
      </c>
      <c r="B67" s="243">
        <v>-4401</v>
      </c>
      <c r="C67" s="233">
        <v>-5663</v>
      </c>
      <c r="D67" s="233">
        <v>-4556</v>
      </c>
      <c r="E67" s="233">
        <v>-4167</v>
      </c>
      <c r="F67" s="233">
        <v>-5495</v>
      </c>
      <c r="G67" s="233">
        <v>-2705</v>
      </c>
      <c r="H67" s="233">
        <v>-2721</v>
      </c>
      <c r="I67" s="233">
        <v>-4772</v>
      </c>
      <c r="J67" s="233">
        <v>-5951</v>
      </c>
      <c r="K67" s="233">
        <v>-9500</v>
      </c>
      <c r="L67" s="233">
        <v>-5998</v>
      </c>
      <c r="M67" s="233">
        <v>-5052</v>
      </c>
    </row>
    <row r="68" spans="1:13" customFormat="1" ht="10.7" customHeight="1" x14ac:dyDescent="0.3">
      <c r="A68" s="169"/>
      <c r="B68" s="24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</row>
    <row r="69" spans="1:13" customFormat="1" ht="10.7" customHeight="1" x14ac:dyDescent="0.3">
      <c r="A69" s="168" t="s">
        <v>212</v>
      </c>
      <c r="B69" s="243">
        <v>-1634</v>
      </c>
      <c r="C69" s="233">
        <v>-1995</v>
      </c>
      <c r="D69" s="233">
        <v>-2116</v>
      </c>
      <c r="E69" s="233">
        <v>-1906</v>
      </c>
      <c r="F69" s="233">
        <v>-1845</v>
      </c>
      <c r="G69" s="233">
        <v>-1591</v>
      </c>
      <c r="H69" s="233">
        <v>-1444</v>
      </c>
      <c r="I69" s="233">
        <v>-1900</v>
      </c>
      <c r="J69" s="233">
        <v>-2010</v>
      </c>
      <c r="K69" s="233">
        <v>-2477</v>
      </c>
      <c r="L69" s="233">
        <v>-1674</v>
      </c>
      <c r="M69" s="233">
        <v>-1648</v>
      </c>
    </row>
    <row r="70" spans="1:13" customFormat="1" ht="10.7" customHeight="1" x14ac:dyDescent="0.3">
      <c r="A70" s="168" t="s">
        <v>213</v>
      </c>
      <c r="B70" s="243">
        <v>2429</v>
      </c>
      <c r="C70" s="233">
        <v>2284</v>
      </c>
      <c r="D70" s="233">
        <v>3487</v>
      </c>
      <c r="E70" s="233">
        <v>3767</v>
      </c>
      <c r="F70" s="233">
        <v>2836</v>
      </c>
      <c r="G70" s="233">
        <v>3812</v>
      </c>
      <c r="H70" s="233">
        <v>3682</v>
      </c>
      <c r="I70" s="233">
        <v>3824</v>
      </c>
      <c r="J70" s="233">
        <v>3379</v>
      </c>
      <c r="K70" s="233">
        <v>708</v>
      </c>
      <c r="L70" s="233">
        <v>1445</v>
      </c>
      <c r="M70" s="233">
        <v>2323</v>
      </c>
    </row>
    <row r="71" spans="1:13" customFormat="1" ht="10.7" customHeight="1" x14ac:dyDescent="0.3">
      <c r="A71" s="168" t="s">
        <v>214</v>
      </c>
      <c r="B71" s="243">
        <v>-3011</v>
      </c>
      <c r="C71" s="233">
        <v>-2800</v>
      </c>
      <c r="D71" s="233">
        <v>-2684</v>
      </c>
      <c r="E71" s="233">
        <v>-2750</v>
      </c>
      <c r="F71" s="233">
        <v>-3065</v>
      </c>
      <c r="G71" s="233">
        <v>-2555</v>
      </c>
      <c r="H71" s="233">
        <v>-1996</v>
      </c>
      <c r="I71" s="233">
        <v>-3272</v>
      </c>
      <c r="J71" s="233">
        <v>-3272</v>
      </c>
      <c r="K71" s="233">
        <v>-3468</v>
      </c>
      <c r="L71" s="233">
        <v>-3081</v>
      </c>
      <c r="M71" s="233">
        <v>-3087</v>
      </c>
    </row>
    <row r="72" spans="1:13" customFormat="1" ht="10.7" customHeight="1" x14ac:dyDescent="0.3">
      <c r="A72" s="168" t="s">
        <v>215</v>
      </c>
      <c r="B72" s="243">
        <v>19</v>
      </c>
      <c r="C72" s="233">
        <v>26</v>
      </c>
      <c r="D72" s="233">
        <v>28</v>
      </c>
      <c r="E72" s="233">
        <v>-1</v>
      </c>
      <c r="F72" s="233">
        <v>8</v>
      </c>
      <c r="G72" s="233">
        <v>35</v>
      </c>
      <c r="H72" s="233">
        <v>66</v>
      </c>
      <c r="I72" s="233">
        <v>59</v>
      </c>
      <c r="J72" s="233">
        <v>52</v>
      </c>
      <c r="K72" s="233">
        <v>27</v>
      </c>
      <c r="L72" s="233">
        <v>31</v>
      </c>
      <c r="M72" s="233">
        <v>49</v>
      </c>
    </row>
    <row r="73" spans="1:13" customFormat="1" ht="10.7" customHeight="1" x14ac:dyDescent="0.3">
      <c r="A73" s="168" t="s">
        <v>216</v>
      </c>
      <c r="B73" s="243">
        <v>-410</v>
      </c>
      <c r="C73" s="233">
        <v>-434</v>
      </c>
      <c r="D73" s="233">
        <v>-567</v>
      </c>
      <c r="E73" s="233">
        <v>-556</v>
      </c>
      <c r="F73" s="233">
        <v>-770</v>
      </c>
      <c r="G73" s="233">
        <v>-538</v>
      </c>
      <c r="H73" s="233">
        <v>-509</v>
      </c>
      <c r="I73" s="233">
        <v>-450</v>
      </c>
      <c r="J73" s="233">
        <v>-512</v>
      </c>
      <c r="K73" s="233">
        <v>-466</v>
      </c>
      <c r="L73" s="233">
        <v>-393</v>
      </c>
      <c r="M73" s="233">
        <v>-426</v>
      </c>
    </row>
    <row r="74" spans="1:13" customFormat="1" ht="10.7" customHeight="1" x14ac:dyDescent="0.3">
      <c r="A74" s="168" t="s">
        <v>217</v>
      </c>
      <c r="B74" s="243">
        <v>-1772</v>
      </c>
      <c r="C74" s="233">
        <v>-2016</v>
      </c>
      <c r="D74" s="233">
        <v>-2091</v>
      </c>
      <c r="E74" s="233">
        <v>-2202</v>
      </c>
      <c r="F74" s="233">
        <v>-2303</v>
      </c>
      <c r="G74" s="233">
        <v>-2123</v>
      </c>
      <c r="H74" s="233">
        <v>-2543</v>
      </c>
      <c r="I74" s="233">
        <v>-3069</v>
      </c>
      <c r="J74" s="233">
        <v>-3478</v>
      </c>
      <c r="K74" s="233">
        <v>-3555</v>
      </c>
      <c r="L74" s="233">
        <v>-2943</v>
      </c>
      <c r="M74" s="233">
        <v>-2889</v>
      </c>
    </row>
    <row r="75" spans="1:13" customFormat="1" ht="10.7" customHeight="1" x14ac:dyDescent="0.3">
      <c r="A75" s="168" t="s">
        <v>218</v>
      </c>
      <c r="B75" s="243">
        <v>-22</v>
      </c>
      <c r="C75" s="233">
        <v>-728</v>
      </c>
      <c r="D75" s="233">
        <v>-613</v>
      </c>
      <c r="E75" s="233">
        <v>-519</v>
      </c>
      <c r="F75" s="233">
        <v>-356</v>
      </c>
      <c r="G75" s="233">
        <v>255</v>
      </c>
      <c r="H75" s="233">
        <v>23</v>
      </c>
      <c r="I75" s="233">
        <v>36</v>
      </c>
      <c r="J75" s="233">
        <v>-110</v>
      </c>
      <c r="K75" s="233">
        <v>-269</v>
      </c>
      <c r="L75" s="233">
        <v>617</v>
      </c>
      <c r="M75" s="233">
        <v>626</v>
      </c>
    </row>
    <row r="76" spans="1:13" customFormat="1" ht="10.7" customHeight="1" x14ac:dyDescent="0.3">
      <c r="A76" s="168"/>
      <c r="B76" s="24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</row>
    <row r="77" spans="1:13" customFormat="1" ht="10.7" customHeight="1" x14ac:dyDescent="0.3">
      <c r="A77" s="169" t="s">
        <v>299</v>
      </c>
      <c r="B77" s="245">
        <v>47100</v>
      </c>
      <c r="C77" s="246">
        <v>46647</v>
      </c>
      <c r="D77" s="246">
        <v>42557</v>
      </c>
      <c r="E77" s="246">
        <v>55872</v>
      </c>
      <c r="F77" s="246">
        <v>58831</v>
      </c>
      <c r="G77" s="246">
        <v>74198</v>
      </c>
      <c r="H77" s="246">
        <v>83404</v>
      </c>
      <c r="I77" s="246">
        <v>91367</v>
      </c>
      <c r="J77" s="246">
        <v>78121</v>
      </c>
      <c r="K77" s="246">
        <v>71578</v>
      </c>
      <c r="L77" s="246">
        <v>63275</v>
      </c>
      <c r="M77" s="246">
        <v>61712</v>
      </c>
    </row>
    <row r="78" spans="1:13" customFormat="1" ht="10.7" customHeight="1" x14ac:dyDescent="0.3">
      <c r="A78" s="169"/>
      <c r="B78" s="245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</row>
    <row r="79" spans="1:13" customFormat="1" ht="10.7" customHeight="1" x14ac:dyDescent="0.3">
      <c r="A79" s="168" t="s">
        <v>212</v>
      </c>
      <c r="B79" s="245">
        <v>38985</v>
      </c>
      <c r="C79" s="246">
        <v>40835</v>
      </c>
      <c r="D79" s="246">
        <v>38829</v>
      </c>
      <c r="E79" s="246">
        <v>47129</v>
      </c>
      <c r="F79" s="246">
        <v>50345</v>
      </c>
      <c r="G79" s="246">
        <v>61151</v>
      </c>
      <c r="H79" s="246">
        <v>66482</v>
      </c>
      <c r="I79" s="246">
        <v>70275</v>
      </c>
      <c r="J79" s="246">
        <v>65981</v>
      </c>
      <c r="K79" s="246">
        <v>64358</v>
      </c>
      <c r="L79" s="246">
        <v>58723</v>
      </c>
      <c r="M79" s="246">
        <v>57506</v>
      </c>
    </row>
    <row r="80" spans="1:13" customFormat="1" ht="10.7" customHeight="1" x14ac:dyDescent="0.3">
      <c r="A80" s="168" t="s">
        <v>213</v>
      </c>
      <c r="B80" s="245">
        <v>-17095</v>
      </c>
      <c r="C80" s="246">
        <v>-17699</v>
      </c>
      <c r="D80" s="246">
        <v>-17425</v>
      </c>
      <c r="E80" s="246">
        <v>-15956</v>
      </c>
      <c r="F80" s="246">
        <v>-15165</v>
      </c>
      <c r="G80" s="246">
        <v>-13458</v>
      </c>
      <c r="H80" s="246">
        <v>-12168</v>
      </c>
      <c r="I80" s="246">
        <v>-12053</v>
      </c>
      <c r="J80" s="246">
        <v>-16220</v>
      </c>
      <c r="K80" s="246">
        <v>-17211</v>
      </c>
      <c r="L80" s="246">
        <v>-16359</v>
      </c>
      <c r="M80" s="246">
        <v>-15816</v>
      </c>
    </row>
    <row r="81" spans="1:13" customFormat="1" ht="10.7" customHeight="1" x14ac:dyDescent="0.3">
      <c r="A81" s="168" t="s">
        <v>214</v>
      </c>
      <c r="B81" s="245">
        <v>10399</v>
      </c>
      <c r="C81" s="246">
        <v>11382</v>
      </c>
      <c r="D81" s="246">
        <v>9699</v>
      </c>
      <c r="E81" s="246">
        <v>9868</v>
      </c>
      <c r="F81" s="246">
        <v>8716</v>
      </c>
      <c r="G81" s="246">
        <v>9025</v>
      </c>
      <c r="H81" s="246">
        <v>8723</v>
      </c>
      <c r="I81" s="246">
        <v>6667</v>
      </c>
      <c r="J81" s="246">
        <v>4513</v>
      </c>
      <c r="K81" s="246">
        <v>3161</v>
      </c>
      <c r="L81" s="246">
        <v>2289</v>
      </c>
      <c r="M81" s="246">
        <v>1799</v>
      </c>
    </row>
    <row r="82" spans="1:13" customFormat="1" ht="10.7" customHeight="1" x14ac:dyDescent="0.3">
      <c r="A82" s="168" t="s">
        <v>215</v>
      </c>
      <c r="B82" s="245">
        <v>9987</v>
      </c>
      <c r="C82" s="246">
        <v>11991</v>
      </c>
      <c r="D82" s="246">
        <v>11167</v>
      </c>
      <c r="E82" s="246">
        <v>13814</v>
      </c>
      <c r="F82" s="246">
        <v>13141</v>
      </c>
      <c r="G82" s="246">
        <v>14419</v>
      </c>
      <c r="H82" s="246">
        <v>16123</v>
      </c>
      <c r="I82" s="246">
        <v>22140</v>
      </c>
      <c r="J82" s="246">
        <v>20852</v>
      </c>
      <c r="K82" s="246">
        <v>18616</v>
      </c>
      <c r="L82" s="246">
        <v>16043</v>
      </c>
      <c r="M82" s="246">
        <v>15568</v>
      </c>
    </row>
    <row r="83" spans="1:13" customFormat="1" ht="10.7" customHeight="1" x14ac:dyDescent="0.3">
      <c r="A83" s="168" t="s">
        <v>216</v>
      </c>
      <c r="B83" s="245">
        <v>864</v>
      </c>
      <c r="C83" s="246">
        <v>997</v>
      </c>
      <c r="D83" s="246">
        <v>977</v>
      </c>
      <c r="E83" s="246">
        <v>967</v>
      </c>
      <c r="F83" s="246">
        <v>1211</v>
      </c>
      <c r="G83" s="246">
        <v>1668</v>
      </c>
      <c r="H83" s="246">
        <v>2731</v>
      </c>
      <c r="I83" s="246">
        <v>3182</v>
      </c>
      <c r="J83" s="246">
        <v>2487</v>
      </c>
      <c r="K83" s="246">
        <v>2563</v>
      </c>
      <c r="L83" s="246">
        <v>2770</v>
      </c>
      <c r="M83" s="246">
        <v>3168</v>
      </c>
    </row>
    <row r="84" spans="1:13" customFormat="1" ht="10.7" customHeight="1" x14ac:dyDescent="0.3">
      <c r="A84" s="168" t="s">
        <v>217</v>
      </c>
      <c r="B84" s="245">
        <v>-554</v>
      </c>
      <c r="C84" s="246">
        <v>-727</v>
      </c>
      <c r="D84" s="246">
        <v>-725</v>
      </c>
      <c r="E84" s="246">
        <v>-684</v>
      </c>
      <c r="F84" s="246">
        <v>-890</v>
      </c>
      <c r="G84" s="246">
        <v>-848</v>
      </c>
      <c r="H84" s="246">
        <v>-827</v>
      </c>
      <c r="I84" s="246">
        <v>-1012</v>
      </c>
      <c r="J84" s="246">
        <v>-1156</v>
      </c>
      <c r="K84" s="246">
        <v>-1063</v>
      </c>
      <c r="L84" s="246">
        <v>-859</v>
      </c>
      <c r="M84" s="246">
        <v>-896</v>
      </c>
    </row>
    <row r="85" spans="1:13" customFormat="1" ht="10.7" customHeight="1" x14ac:dyDescent="0.3">
      <c r="A85" s="168" t="s">
        <v>218</v>
      </c>
      <c r="B85" s="245">
        <v>4514</v>
      </c>
      <c r="C85" s="246">
        <v>-132</v>
      </c>
      <c r="D85" s="246">
        <v>35</v>
      </c>
      <c r="E85" s="246">
        <v>734</v>
      </c>
      <c r="F85" s="246">
        <v>1473</v>
      </c>
      <c r="G85" s="246">
        <v>2241</v>
      </c>
      <c r="H85" s="246">
        <v>2340</v>
      </c>
      <c r="I85" s="246">
        <v>2168</v>
      </c>
      <c r="J85" s="246">
        <v>1664</v>
      </c>
      <c r="K85" s="246">
        <v>1154</v>
      </c>
      <c r="L85" s="246">
        <v>668</v>
      </c>
      <c r="M85" s="246">
        <v>383</v>
      </c>
    </row>
    <row r="86" spans="1:13" customFormat="1" ht="10.7" customHeight="1" x14ac:dyDescent="0.3">
      <c r="A86" s="168"/>
      <c r="B86" s="24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</row>
    <row r="87" spans="1:13" customFormat="1" ht="10.7" customHeight="1" x14ac:dyDescent="0.3">
      <c r="A87" s="169" t="s">
        <v>300</v>
      </c>
      <c r="B87" s="245">
        <v>-18052</v>
      </c>
      <c r="C87" s="246">
        <v>-21295</v>
      </c>
      <c r="D87" s="246">
        <v>-21496</v>
      </c>
      <c r="E87" s="246">
        <v>-19035</v>
      </c>
      <c r="F87" s="246">
        <v>-17720</v>
      </c>
      <c r="G87" s="246">
        <v>-10800</v>
      </c>
      <c r="H87" s="246">
        <v>-9403</v>
      </c>
      <c r="I87" s="246">
        <v>-9056</v>
      </c>
      <c r="J87" s="246">
        <v>-13389</v>
      </c>
      <c r="K87" s="246">
        <v>-18539</v>
      </c>
      <c r="L87" s="246">
        <v>-15276</v>
      </c>
      <c r="M87" s="246">
        <v>-13394</v>
      </c>
    </row>
    <row r="88" spans="1:13" customFormat="1" ht="10.7" customHeight="1" x14ac:dyDescent="0.3">
      <c r="A88" s="169"/>
      <c r="B88" s="245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</row>
    <row r="89" spans="1:13" customFormat="1" ht="10.7" customHeight="1" x14ac:dyDescent="0.3">
      <c r="A89" s="168" t="s">
        <v>212</v>
      </c>
      <c r="B89" s="245">
        <v>-11377</v>
      </c>
      <c r="C89" s="246">
        <v>-13227</v>
      </c>
      <c r="D89" s="246">
        <v>-13516</v>
      </c>
      <c r="E89" s="246">
        <v>-10372</v>
      </c>
      <c r="F89" s="246">
        <v>-8875</v>
      </c>
      <c r="G89" s="246">
        <v>-5762</v>
      </c>
      <c r="H89" s="246">
        <v>-4398</v>
      </c>
      <c r="I89" s="246">
        <v>-3570</v>
      </c>
      <c r="J89" s="246">
        <v>-4235</v>
      </c>
      <c r="K89" s="246">
        <v>-5085</v>
      </c>
      <c r="L89" s="246">
        <v>-4197</v>
      </c>
      <c r="M89" s="246">
        <v>-3243</v>
      </c>
    </row>
    <row r="90" spans="1:13" customFormat="1" ht="10.7" customHeight="1" x14ac:dyDescent="0.3">
      <c r="A90" s="168" t="s">
        <v>213</v>
      </c>
      <c r="B90" s="245">
        <v>-101</v>
      </c>
      <c r="C90" s="246">
        <v>-469</v>
      </c>
      <c r="D90" s="246">
        <v>-190</v>
      </c>
      <c r="E90" s="246">
        <v>-674</v>
      </c>
      <c r="F90" s="246">
        <v>-135</v>
      </c>
      <c r="G90" s="246">
        <v>1298</v>
      </c>
      <c r="H90" s="246">
        <v>1037</v>
      </c>
      <c r="I90" s="246">
        <v>1958</v>
      </c>
      <c r="J90" s="246">
        <v>348</v>
      </c>
      <c r="K90" s="246">
        <v>-2452</v>
      </c>
      <c r="L90" s="246">
        <v>-1677</v>
      </c>
      <c r="M90" s="246">
        <v>-1341</v>
      </c>
    </row>
    <row r="91" spans="1:13" customFormat="1" ht="10.7" customHeight="1" x14ac:dyDescent="0.3">
      <c r="A91" s="168" t="s">
        <v>214</v>
      </c>
      <c r="B91" s="245">
        <v>-1747</v>
      </c>
      <c r="C91" s="246">
        <v>-1502</v>
      </c>
      <c r="D91" s="246">
        <v>-1513</v>
      </c>
      <c r="E91" s="246">
        <v>-1821</v>
      </c>
      <c r="F91" s="246">
        <v>-2560</v>
      </c>
      <c r="G91" s="246">
        <v>-1439</v>
      </c>
      <c r="H91" s="246">
        <v>-1172</v>
      </c>
      <c r="I91" s="246">
        <v>-2181</v>
      </c>
      <c r="J91" s="246">
        <v>-3264</v>
      </c>
      <c r="K91" s="246">
        <v>-4168</v>
      </c>
      <c r="L91" s="246">
        <v>-4038</v>
      </c>
      <c r="M91" s="246">
        <v>-3586</v>
      </c>
    </row>
    <row r="92" spans="1:13" customFormat="1" ht="10.7" customHeight="1" x14ac:dyDescent="0.3">
      <c r="A92" s="168" t="s">
        <v>215</v>
      </c>
      <c r="B92" s="245">
        <v>-16</v>
      </c>
      <c r="C92" s="246">
        <v>80</v>
      </c>
      <c r="D92" s="246">
        <v>58</v>
      </c>
      <c r="E92" s="246">
        <v>82</v>
      </c>
      <c r="F92" s="246">
        <v>24</v>
      </c>
      <c r="G92" s="246">
        <v>141</v>
      </c>
      <c r="H92" s="246">
        <v>178</v>
      </c>
      <c r="I92" s="246">
        <v>216</v>
      </c>
      <c r="J92" s="246">
        <v>148</v>
      </c>
      <c r="K92" s="246">
        <v>48</v>
      </c>
      <c r="L92" s="246">
        <v>92</v>
      </c>
      <c r="M92" s="246">
        <v>61</v>
      </c>
    </row>
    <row r="93" spans="1:13" customFormat="1" ht="10.7" customHeight="1" x14ac:dyDescent="0.3">
      <c r="A93" s="168" t="s">
        <v>216</v>
      </c>
      <c r="B93" s="245">
        <v>-567</v>
      </c>
      <c r="C93" s="246">
        <v>-661</v>
      </c>
      <c r="D93" s="246">
        <v>-669</v>
      </c>
      <c r="E93" s="246">
        <v>-740</v>
      </c>
      <c r="F93" s="246">
        <v>-897</v>
      </c>
      <c r="G93" s="246">
        <v>-712</v>
      </c>
      <c r="H93" s="246">
        <v>-537</v>
      </c>
      <c r="I93" s="246">
        <v>-333</v>
      </c>
      <c r="J93" s="246">
        <v>-436</v>
      </c>
      <c r="K93" s="246">
        <v>-644</v>
      </c>
      <c r="L93" s="246">
        <v>-401</v>
      </c>
      <c r="M93" s="246">
        <v>-391</v>
      </c>
    </row>
    <row r="94" spans="1:13" customFormat="1" ht="10.7" customHeight="1" x14ac:dyDescent="0.3">
      <c r="A94" s="168" t="s">
        <v>217</v>
      </c>
      <c r="B94" s="245">
        <v>-3111</v>
      </c>
      <c r="C94" s="246">
        <v>-3521</v>
      </c>
      <c r="D94" s="246">
        <v>-3566</v>
      </c>
      <c r="E94" s="246">
        <v>-3590</v>
      </c>
      <c r="F94" s="246">
        <v>-3906</v>
      </c>
      <c r="G94" s="246">
        <v>-3756</v>
      </c>
      <c r="H94" s="246">
        <v>-3983</v>
      </c>
      <c r="I94" s="246">
        <v>-4510</v>
      </c>
      <c r="J94" s="246">
        <v>-5016</v>
      </c>
      <c r="K94" s="246">
        <v>-4926</v>
      </c>
      <c r="L94" s="246">
        <v>-4159</v>
      </c>
      <c r="M94" s="246">
        <v>-4068</v>
      </c>
    </row>
    <row r="95" spans="1:13" customFormat="1" ht="10.7" customHeight="1" x14ac:dyDescent="0.3">
      <c r="A95" s="168" t="s">
        <v>218</v>
      </c>
      <c r="B95" s="245">
        <v>-1133</v>
      </c>
      <c r="C95" s="246">
        <v>-1995</v>
      </c>
      <c r="D95" s="246">
        <v>-2100</v>
      </c>
      <c r="E95" s="246">
        <v>-1920</v>
      </c>
      <c r="F95" s="246">
        <v>-1371</v>
      </c>
      <c r="G95" s="246">
        <v>-570</v>
      </c>
      <c r="H95" s="246">
        <v>-528</v>
      </c>
      <c r="I95" s="246">
        <v>-636</v>
      </c>
      <c r="J95" s="246">
        <v>-934</v>
      </c>
      <c r="K95" s="246">
        <v>-1312</v>
      </c>
      <c r="L95" s="246">
        <v>-896</v>
      </c>
      <c r="M95" s="246">
        <v>-826</v>
      </c>
    </row>
    <row r="96" spans="1:13" customFormat="1" ht="10.7" customHeight="1" thickBot="1" x14ac:dyDescent="0.35">
      <c r="A96" s="17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</row>
  </sheetData>
  <mergeCells count="2">
    <mergeCell ref="A3:A5"/>
    <mergeCell ref="A1:M1"/>
  </mergeCells>
  <phoneticPr fontId="5" type="noConversion"/>
  <conditionalFormatting sqref="B7:M95">
    <cfRule type="cellIs" dxfId="6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69" fitToHeight="0" orientation="portrait" r:id="rId1"/>
  <colBreaks count="1" manualBreakCount="1">
    <brk id="5" max="8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66"/>
  <sheetViews>
    <sheetView showGridLines="0" view="pageBreakPreview" zoomScale="115" zoomScaleNormal="100" zoomScaleSheetLayoutView="115" workbookViewId="0">
      <selection sqref="A1:P1"/>
    </sheetView>
  </sheetViews>
  <sheetFormatPr defaultRowHeight="14.25" customHeight="1" x14ac:dyDescent="0.3"/>
  <cols>
    <col min="1" max="1" width="7.375" style="2" customWidth="1"/>
    <col min="2" max="2" width="6.625" style="2" customWidth="1"/>
    <col min="3" max="16" width="6.125" style="2" customWidth="1"/>
    <col min="17" max="16384" width="9" style="2"/>
  </cols>
  <sheetData>
    <row r="1" spans="1:16" s="3" customFormat="1" ht="25.5" customHeight="1" x14ac:dyDescent="0.3">
      <c r="A1" s="272" t="s">
        <v>274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</row>
    <row r="2" spans="1:16" s="4" customFormat="1" ht="12.75" customHeight="1" thickBot="1" x14ac:dyDescent="0.35">
      <c r="B2" s="5"/>
      <c r="C2" s="6"/>
      <c r="K2" s="7"/>
      <c r="P2" s="7" t="s">
        <v>23</v>
      </c>
    </row>
    <row r="3" spans="1:16" s="1" customFormat="1" ht="24" customHeight="1" x14ac:dyDescent="0.3">
      <c r="A3" s="173" t="s">
        <v>231</v>
      </c>
      <c r="B3" s="239" t="s">
        <v>313</v>
      </c>
      <c r="C3" s="240" t="s">
        <v>232</v>
      </c>
      <c r="D3" s="240" t="s">
        <v>233</v>
      </c>
      <c r="E3" s="240" t="s">
        <v>234</v>
      </c>
      <c r="F3" s="240" t="s">
        <v>235</v>
      </c>
      <c r="G3" s="240" t="s">
        <v>236</v>
      </c>
      <c r="H3" s="240" t="s">
        <v>237</v>
      </c>
      <c r="I3" s="240" t="s">
        <v>238</v>
      </c>
      <c r="J3" s="240" t="s">
        <v>239</v>
      </c>
      <c r="K3" s="240" t="s">
        <v>240</v>
      </c>
      <c r="L3" s="240" t="s">
        <v>241</v>
      </c>
      <c r="M3" s="240" t="s">
        <v>242</v>
      </c>
      <c r="N3" s="240" t="s">
        <v>243</v>
      </c>
      <c r="O3" s="240" t="s">
        <v>244</v>
      </c>
      <c r="P3" s="174" t="s">
        <v>245</v>
      </c>
    </row>
    <row r="4" spans="1:16" s="1" customFormat="1" ht="11.45" customHeight="1" x14ac:dyDescent="0.3">
      <c r="A4" s="11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x14ac:dyDescent="0.3">
      <c r="A5" s="148">
        <v>1970</v>
      </c>
      <c r="B5" s="17">
        <v>392353</v>
      </c>
      <c r="C5" s="17">
        <v>14062</v>
      </c>
      <c r="D5" s="17" t="s">
        <v>3</v>
      </c>
      <c r="E5" s="17" t="s">
        <v>3</v>
      </c>
      <c r="F5" s="17" t="s">
        <v>3</v>
      </c>
      <c r="G5" s="17" t="s">
        <v>3</v>
      </c>
      <c r="H5" s="17" t="s">
        <v>3</v>
      </c>
      <c r="I5" s="17">
        <v>33982</v>
      </c>
      <c r="J5" s="17">
        <v>39086</v>
      </c>
      <c r="K5" s="17">
        <v>60305</v>
      </c>
      <c r="L5" s="17">
        <v>71924</v>
      </c>
      <c r="M5" s="17">
        <v>76194</v>
      </c>
      <c r="N5" s="17">
        <v>55300</v>
      </c>
      <c r="O5" s="17">
        <v>37323</v>
      </c>
      <c r="P5" s="17">
        <v>3181</v>
      </c>
    </row>
    <row r="6" spans="1:16" ht="13.5" customHeight="1" x14ac:dyDescent="0.3">
      <c r="A6" s="148">
        <v>1971</v>
      </c>
      <c r="B6" s="17">
        <v>373966</v>
      </c>
      <c r="C6" s="17">
        <v>20248</v>
      </c>
      <c r="D6" s="17" t="s">
        <v>3</v>
      </c>
      <c r="E6" s="17" t="s">
        <v>3</v>
      </c>
      <c r="F6" s="17" t="s">
        <v>3</v>
      </c>
      <c r="G6" s="17" t="s">
        <v>3</v>
      </c>
      <c r="H6" s="17" t="s">
        <v>3</v>
      </c>
      <c r="I6" s="17">
        <v>34100</v>
      </c>
      <c r="J6" s="17">
        <v>38460</v>
      </c>
      <c r="K6" s="17">
        <v>57452</v>
      </c>
      <c r="L6" s="17">
        <v>62455</v>
      </c>
      <c r="M6" s="17">
        <v>67656</v>
      </c>
      <c r="N6" s="17">
        <v>52868</v>
      </c>
      <c r="O6" s="17">
        <v>36780</v>
      </c>
      <c r="P6" s="17">
        <v>3947</v>
      </c>
    </row>
    <row r="7" spans="1:16" ht="13.5" customHeight="1" x14ac:dyDescent="0.3">
      <c r="A7" s="148">
        <v>1972</v>
      </c>
      <c r="B7" s="17">
        <v>173874</v>
      </c>
      <c r="C7" s="17">
        <v>6546</v>
      </c>
      <c r="D7" s="17" t="s">
        <v>3</v>
      </c>
      <c r="E7" s="17" t="s">
        <v>3</v>
      </c>
      <c r="F7" s="17" t="s">
        <v>3</v>
      </c>
      <c r="G7" s="17" t="s">
        <v>3</v>
      </c>
      <c r="H7" s="17" t="s">
        <v>3</v>
      </c>
      <c r="I7" s="17">
        <v>24252</v>
      </c>
      <c r="J7" s="17">
        <v>22821</v>
      </c>
      <c r="K7" s="17">
        <v>23029</v>
      </c>
      <c r="L7" s="17">
        <v>30051</v>
      </c>
      <c r="M7" s="17">
        <v>28488</v>
      </c>
      <c r="N7" s="17">
        <v>20950</v>
      </c>
      <c r="O7" s="17">
        <v>17167</v>
      </c>
      <c r="P7" s="17">
        <v>570</v>
      </c>
    </row>
    <row r="8" spans="1:16" ht="13.5" customHeight="1" x14ac:dyDescent="0.3">
      <c r="A8" s="148">
        <v>1973</v>
      </c>
      <c r="B8" s="17">
        <v>272388</v>
      </c>
      <c r="C8" s="17">
        <v>9162</v>
      </c>
      <c r="D8" s="17" t="s">
        <v>3</v>
      </c>
      <c r="E8" s="17" t="s">
        <v>3</v>
      </c>
      <c r="F8" s="17" t="s">
        <v>3</v>
      </c>
      <c r="G8" s="17" t="s">
        <v>3</v>
      </c>
      <c r="H8" s="17" t="s">
        <v>3</v>
      </c>
      <c r="I8" s="17">
        <v>30996</v>
      </c>
      <c r="J8" s="17">
        <v>29555</v>
      </c>
      <c r="K8" s="17">
        <v>36120</v>
      </c>
      <c r="L8" s="17">
        <v>44087</v>
      </c>
      <c r="M8" s="17">
        <v>46874</v>
      </c>
      <c r="N8" s="17">
        <v>37348</v>
      </c>
      <c r="O8" s="17">
        <v>27919</v>
      </c>
      <c r="P8" s="17">
        <v>4916</v>
      </c>
    </row>
    <row r="9" spans="1:16" ht="13.5" customHeight="1" x14ac:dyDescent="0.3">
      <c r="A9" s="148">
        <v>1974</v>
      </c>
      <c r="B9" s="17">
        <v>325329</v>
      </c>
      <c r="C9" s="17">
        <v>5190</v>
      </c>
      <c r="D9" s="17" t="s">
        <v>3</v>
      </c>
      <c r="E9" s="17" t="s">
        <v>3</v>
      </c>
      <c r="F9" s="17" t="s">
        <v>3</v>
      </c>
      <c r="G9" s="17" t="s">
        <v>3</v>
      </c>
      <c r="H9" s="17" t="s">
        <v>3</v>
      </c>
      <c r="I9" s="17">
        <v>36307</v>
      </c>
      <c r="J9" s="17">
        <v>35403</v>
      </c>
      <c r="K9" s="17">
        <v>48606</v>
      </c>
      <c r="L9" s="17">
        <v>53482</v>
      </c>
      <c r="M9" s="17">
        <v>59733</v>
      </c>
      <c r="N9" s="17">
        <v>44013</v>
      </c>
      <c r="O9" s="17">
        <v>26190</v>
      </c>
      <c r="P9" s="17">
        <v>6216</v>
      </c>
    </row>
    <row r="10" spans="1:16" ht="13.5" customHeight="1" x14ac:dyDescent="0.3">
      <c r="A10" s="148">
        <v>1975</v>
      </c>
      <c r="B10" s="17">
        <v>641129</v>
      </c>
      <c r="C10" s="17">
        <v>35305</v>
      </c>
      <c r="D10" s="17" t="s">
        <v>3</v>
      </c>
      <c r="E10" s="17" t="s">
        <v>3</v>
      </c>
      <c r="F10" s="17" t="s">
        <v>3</v>
      </c>
      <c r="G10" s="17" t="s">
        <v>3</v>
      </c>
      <c r="H10" s="17" t="s">
        <v>3</v>
      </c>
      <c r="I10" s="17">
        <v>63192</v>
      </c>
      <c r="J10" s="17">
        <v>68349</v>
      </c>
      <c r="K10" s="17">
        <v>89644</v>
      </c>
      <c r="L10" s="17">
        <v>107372</v>
      </c>
      <c r="M10" s="17">
        <v>105872</v>
      </c>
      <c r="N10" s="17">
        <v>89532</v>
      </c>
      <c r="O10" s="17">
        <v>65252</v>
      </c>
      <c r="P10" s="17">
        <v>11312</v>
      </c>
    </row>
    <row r="11" spans="1:16" ht="13.5" customHeight="1" x14ac:dyDescent="0.3">
      <c r="A11" s="148">
        <v>1976</v>
      </c>
      <c r="B11" s="17">
        <v>384984</v>
      </c>
      <c r="C11" s="17">
        <v>19210</v>
      </c>
      <c r="D11" s="17" t="s">
        <v>3</v>
      </c>
      <c r="E11" s="17" t="s">
        <v>3</v>
      </c>
      <c r="F11" s="17" t="s">
        <v>3</v>
      </c>
      <c r="G11" s="17" t="s">
        <v>3</v>
      </c>
      <c r="H11" s="17" t="s">
        <v>3</v>
      </c>
      <c r="I11" s="17">
        <v>35833</v>
      </c>
      <c r="J11" s="17">
        <v>41564</v>
      </c>
      <c r="K11" s="17">
        <v>52501</v>
      </c>
      <c r="L11" s="17">
        <v>64800</v>
      </c>
      <c r="M11" s="17">
        <v>60504</v>
      </c>
      <c r="N11" s="17">
        <v>54326</v>
      </c>
      <c r="O11" s="17">
        <v>46649</v>
      </c>
      <c r="P11" s="17">
        <v>6532</v>
      </c>
    </row>
    <row r="12" spans="1:16" ht="13.5" customHeight="1" x14ac:dyDescent="0.3">
      <c r="A12" s="148">
        <v>1977</v>
      </c>
      <c r="B12" s="17">
        <v>341851</v>
      </c>
      <c r="C12" s="17">
        <v>16943</v>
      </c>
      <c r="D12" s="17" t="s">
        <v>3</v>
      </c>
      <c r="E12" s="17" t="s">
        <v>3</v>
      </c>
      <c r="F12" s="17" t="s">
        <v>3</v>
      </c>
      <c r="G12" s="17" t="s">
        <v>3</v>
      </c>
      <c r="H12" s="17" t="s">
        <v>3</v>
      </c>
      <c r="I12" s="17">
        <v>38256</v>
      </c>
      <c r="J12" s="17">
        <v>43063</v>
      </c>
      <c r="K12" s="17">
        <v>44714</v>
      </c>
      <c r="L12" s="17">
        <v>59697</v>
      </c>
      <c r="M12" s="17">
        <v>59589</v>
      </c>
      <c r="N12" s="17">
        <v>43692</v>
      </c>
      <c r="O12" s="17">
        <v>27100</v>
      </c>
      <c r="P12" s="17">
        <v>7133</v>
      </c>
    </row>
    <row r="13" spans="1:16" ht="13.5" customHeight="1" x14ac:dyDescent="0.3">
      <c r="A13" s="148">
        <v>1978</v>
      </c>
      <c r="B13" s="17">
        <v>446846</v>
      </c>
      <c r="C13" s="17">
        <v>18210</v>
      </c>
      <c r="D13" s="17" t="s">
        <v>3</v>
      </c>
      <c r="E13" s="17" t="s">
        <v>3</v>
      </c>
      <c r="F13" s="17" t="s">
        <v>3</v>
      </c>
      <c r="G13" s="17" t="s">
        <v>3</v>
      </c>
      <c r="H13" s="17" t="s">
        <v>3</v>
      </c>
      <c r="I13" s="17">
        <v>43529</v>
      </c>
      <c r="J13" s="17">
        <v>65608</v>
      </c>
      <c r="K13" s="17">
        <v>50442</v>
      </c>
      <c r="L13" s="17">
        <v>70724</v>
      </c>
      <c r="M13" s="17">
        <v>77860</v>
      </c>
      <c r="N13" s="17">
        <v>54252</v>
      </c>
      <c r="O13" s="17">
        <v>32438</v>
      </c>
      <c r="P13" s="17">
        <v>7404</v>
      </c>
    </row>
    <row r="14" spans="1:16" ht="13.5" customHeight="1" x14ac:dyDescent="0.3">
      <c r="A14" s="148">
        <v>1979</v>
      </c>
      <c r="B14" s="17">
        <v>346341</v>
      </c>
      <c r="C14" s="17">
        <v>12295</v>
      </c>
      <c r="D14" s="17" t="s">
        <v>3</v>
      </c>
      <c r="E14" s="17" t="s">
        <v>3</v>
      </c>
      <c r="F14" s="17" t="s">
        <v>3</v>
      </c>
      <c r="G14" s="17" t="s">
        <v>3</v>
      </c>
      <c r="H14" s="17" t="s">
        <v>3</v>
      </c>
      <c r="I14" s="17">
        <v>34787</v>
      </c>
      <c r="J14" s="17">
        <v>40174</v>
      </c>
      <c r="K14" s="17">
        <v>50613</v>
      </c>
      <c r="L14" s="17">
        <v>65862</v>
      </c>
      <c r="M14" s="17">
        <v>65614</v>
      </c>
      <c r="N14" s="17">
        <v>42871</v>
      </c>
      <c r="O14" s="17">
        <v>24104</v>
      </c>
      <c r="P14" s="17">
        <v>5500</v>
      </c>
    </row>
    <row r="15" spans="1:16" ht="13.5" customHeight="1" x14ac:dyDescent="0.3">
      <c r="A15" s="14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13.5" customHeight="1" x14ac:dyDescent="0.3">
      <c r="A16" s="148">
        <v>1980</v>
      </c>
      <c r="B16" s="17">
        <v>302352</v>
      </c>
      <c r="C16" s="17">
        <v>16095</v>
      </c>
      <c r="D16" s="17" t="s">
        <v>3</v>
      </c>
      <c r="E16" s="17" t="s">
        <v>3</v>
      </c>
      <c r="F16" s="17" t="s">
        <v>3</v>
      </c>
      <c r="G16" s="17" t="s">
        <v>3</v>
      </c>
      <c r="H16" s="17" t="s">
        <v>3</v>
      </c>
      <c r="I16" s="17">
        <v>24886</v>
      </c>
      <c r="J16" s="17">
        <v>29062</v>
      </c>
      <c r="K16" s="17">
        <v>42701</v>
      </c>
      <c r="L16" s="17">
        <v>54689</v>
      </c>
      <c r="M16" s="17">
        <v>72225</v>
      </c>
      <c r="N16" s="17">
        <v>35842</v>
      </c>
      <c r="O16" s="17">
        <v>22935</v>
      </c>
      <c r="P16" s="17">
        <v>1817</v>
      </c>
    </row>
    <row r="17" spans="1:16" ht="13.5" customHeight="1" x14ac:dyDescent="0.3">
      <c r="A17" s="148">
        <v>1981</v>
      </c>
      <c r="B17" s="17">
        <v>287402</v>
      </c>
      <c r="C17" s="17">
        <v>21345</v>
      </c>
      <c r="D17" s="17">
        <v>5003</v>
      </c>
      <c r="E17" s="17" t="s">
        <v>3</v>
      </c>
      <c r="F17" s="17" t="s">
        <v>3</v>
      </c>
      <c r="G17" s="17" t="s">
        <v>3</v>
      </c>
      <c r="H17" s="17" t="s">
        <v>3</v>
      </c>
      <c r="I17" s="17">
        <v>23818</v>
      </c>
      <c r="J17" s="17">
        <v>29192</v>
      </c>
      <c r="K17" s="17">
        <v>47301</v>
      </c>
      <c r="L17" s="17">
        <v>44653</v>
      </c>
      <c r="M17" s="17">
        <v>56733</v>
      </c>
      <c r="N17" s="17">
        <v>32313</v>
      </c>
      <c r="O17" s="17">
        <v>24094</v>
      </c>
      <c r="P17" s="17">
        <v>1918</v>
      </c>
    </row>
    <row r="18" spans="1:16" ht="13.5" customHeight="1" x14ac:dyDescent="0.3">
      <c r="A18" s="148">
        <v>1982</v>
      </c>
      <c r="B18" s="17">
        <v>319714</v>
      </c>
      <c r="C18" s="17">
        <v>22755</v>
      </c>
      <c r="D18" s="17">
        <v>10353</v>
      </c>
      <c r="E18" s="17" t="s">
        <v>3</v>
      </c>
      <c r="F18" s="17" t="s">
        <v>3</v>
      </c>
      <c r="G18" s="17" t="s">
        <v>3</v>
      </c>
      <c r="H18" s="17" t="s">
        <v>3</v>
      </c>
      <c r="I18" s="17">
        <v>28349</v>
      </c>
      <c r="J18" s="17">
        <v>34473</v>
      </c>
      <c r="K18" s="17">
        <v>51012</v>
      </c>
      <c r="L18" s="17">
        <v>49177</v>
      </c>
      <c r="M18" s="17">
        <v>56922</v>
      </c>
      <c r="N18" s="17">
        <v>37089</v>
      </c>
      <c r="O18" s="17">
        <v>25734</v>
      </c>
      <c r="P18" s="17">
        <v>2362</v>
      </c>
    </row>
    <row r="19" spans="1:16" ht="13.5" customHeight="1" x14ac:dyDescent="0.3">
      <c r="A19" s="148">
        <v>1983</v>
      </c>
      <c r="B19" s="17">
        <v>427129</v>
      </c>
      <c r="C19" s="17">
        <v>28654</v>
      </c>
      <c r="D19" s="17">
        <v>17782</v>
      </c>
      <c r="E19" s="17" t="s">
        <v>3</v>
      </c>
      <c r="F19" s="17" t="s">
        <v>3</v>
      </c>
      <c r="G19" s="17" t="s">
        <v>3</v>
      </c>
      <c r="H19" s="17" t="s">
        <v>3</v>
      </c>
      <c r="I19" s="17">
        <v>39551</v>
      </c>
      <c r="J19" s="17">
        <v>38966</v>
      </c>
      <c r="K19" s="17">
        <v>59357</v>
      </c>
      <c r="L19" s="17">
        <v>63207</v>
      </c>
      <c r="M19" s="17">
        <v>81222</v>
      </c>
      <c r="N19" s="17">
        <v>47151</v>
      </c>
      <c r="O19" s="17">
        <v>34396</v>
      </c>
      <c r="P19" s="17">
        <v>2787</v>
      </c>
    </row>
    <row r="20" spans="1:16" ht="13.5" customHeight="1" x14ac:dyDescent="0.3">
      <c r="A20" s="148">
        <v>1984</v>
      </c>
      <c r="B20" s="17">
        <v>383607</v>
      </c>
      <c r="C20" s="17">
        <v>22696</v>
      </c>
      <c r="D20" s="17">
        <v>16982</v>
      </c>
      <c r="E20" s="17" t="s">
        <v>3</v>
      </c>
      <c r="F20" s="17" t="s">
        <v>3</v>
      </c>
      <c r="G20" s="17" t="s">
        <v>3</v>
      </c>
      <c r="H20" s="17" t="s">
        <v>3</v>
      </c>
      <c r="I20" s="17">
        <v>38120</v>
      </c>
      <c r="J20" s="17">
        <v>38477</v>
      </c>
      <c r="K20" s="17">
        <v>60052</v>
      </c>
      <c r="L20" s="17">
        <v>60692</v>
      </c>
      <c r="M20" s="17">
        <v>71460</v>
      </c>
      <c r="N20" s="17">
        <v>39825</v>
      </c>
      <c r="O20" s="17">
        <v>29164</v>
      </c>
      <c r="P20" s="17">
        <v>3638</v>
      </c>
    </row>
    <row r="21" spans="1:16" ht="13.5" customHeight="1" x14ac:dyDescent="0.3">
      <c r="A21" s="148">
        <v>1985</v>
      </c>
      <c r="B21" s="17">
        <v>306671</v>
      </c>
      <c r="C21" s="17">
        <v>18751</v>
      </c>
      <c r="D21" s="17">
        <v>13823</v>
      </c>
      <c r="E21" s="17" t="s">
        <v>3</v>
      </c>
      <c r="F21" s="17" t="s">
        <v>3</v>
      </c>
      <c r="G21" s="17" t="s">
        <v>3</v>
      </c>
      <c r="H21" s="17" t="s">
        <v>3</v>
      </c>
      <c r="I21" s="17">
        <v>28833</v>
      </c>
      <c r="J21" s="17">
        <v>28507</v>
      </c>
      <c r="K21" s="17">
        <v>46967</v>
      </c>
      <c r="L21" s="17">
        <v>49937</v>
      </c>
      <c r="M21" s="17">
        <v>58484</v>
      </c>
      <c r="N21" s="17">
        <v>29869</v>
      </c>
      <c r="O21" s="17">
        <v>26619</v>
      </c>
      <c r="P21" s="17">
        <v>2421</v>
      </c>
    </row>
    <row r="22" spans="1:16" ht="13.5" customHeight="1" x14ac:dyDescent="0.3">
      <c r="A22" s="148">
        <v>1986</v>
      </c>
      <c r="B22" s="17">
        <v>281453</v>
      </c>
      <c r="C22" s="17">
        <v>12895</v>
      </c>
      <c r="D22" s="17">
        <v>9420</v>
      </c>
      <c r="E22" s="17">
        <v>9763</v>
      </c>
      <c r="F22" s="17" t="s">
        <v>3</v>
      </c>
      <c r="G22" s="17" t="s">
        <v>3</v>
      </c>
      <c r="H22" s="17" t="s">
        <v>3</v>
      </c>
      <c r="I22" s="17">
        <v>27411</v>
      </c>
      <c r="J22" s="17">
        <v>24371</v>
      </c>
      <c r="K22" s="17">
        <v>40311</v>
      </c>
      <c r="L22" s="17">
        <v>51418</v>
      </c>
      <c r="M22" s="17">
        <v>49384</v>
      </c>
      <c r="N22" s="17">
        <v>28043</v>
      </c>
      <c r="O22" s="17">
        <v>24084</v>
      </c>
      <c r="P22" s="17">
        <v>2448</v>
      </c>
    </row>
    <row r="23" spans="1:16" ht="13.5" customHeight="1" x14ac:dyDescent="0.3">
      <c r="A23" s="148">
        <v>1987</v>
      </c>
      <c r="B23" s="17">
        <v>321035</v>
      </c>
      <c r="C23" s="17">
        <v>11974</v>
      </c>
      <c r="D23" s="17">
        <v>7971</v>
      </c>
      <c r="E23" s="17">
        <v>8354</v>
      </c>
      <c r="F23" s="17" t="s">
        <v>3</v>
      </c>
      <c r="G23" s="17" t="s">
        <v>3</v>
      </c>
      <c r="H23" s="17" t="s">
        <v>3</v>
      </c>
      <c r="I23" s="17">
        <v>35808</v>
      </c>
      <c r="J23" s="17">
        <v>28758</v>
      </c>
      <c r="K23" s="17">
        <v>48955</v>
      </c>
      <c r="L23" s="17">
        <v>54973</v>
      </c>
      <c r="M23" s="17">
        <v>74099</v>
      </c>
      <c r="N23" s="17">
        <v>30026</v>
      </c>
      <c r="O23" s="17">
        <v>17848</v>
      </c>
      <c r="P23" s="17">
        <v>2269</v>
      </c>
    </row>
    <row r="24" spans="1:16" ht="13.5" customHeight="1" x14ac:dyDescent="0.3">
      <c r="A24" s="148">
        <v>1988</v>
      </c>
      <c r="B24" s="17">
        <v>314362</v>
      </c>
      <c r="C24" s="17">
        <v>15571</v>
      </c>
      <c r="D24" s="17">
        <v>10576</v>
      </c>
      <c r="E24" s="17">
        <v>13780</v>
      </c>
      <c r="F24" s="17" t="s">
        <v>3</v>
      </c>
      <c r="G24" s="17" t="s">
        <v>3</v>
      </c>
      <c r="H24" s="17" t="s">
        <v>3</v>
      </c>
      <c r="I24" s="17">
        <v>38686</v>
      </c>
      <c r="J24" s="17">
        <v>27003</v>
      </c>
      <c r="K24" s="17">
        <v>47781</v>
      </c>
      <c r="L24" s="17">
        <v>49081</v>
      </c>
      <c r="M24" s="17">
        <v>63360</v>
      </c>
      <c r="N24" s="17">
        <v>30251</v>
      </c>
      <c r="O24" s="17">
        <v>16716</v>
      </c>
      <c r="P24" s="17">
        <v>1557</v>
      </c>
    </row>
    <row r="25" spans="1:16" ht="13.5" customHeight="1" x14ac:dyDescent="0.3">
      <c r="A25" s="148">
        <v>1989</v>
      </c>
      <c r="B25" s="17">
        <v>327242</v>
      </c>
      <c r="C25" s="17">
        <v>20333</v>
      </c>
      <c r="D25" s="17">
        <v>10667</v>
      </c>
      <c r="E25" s="17">
        <v>9944</v>
      </c>
      <c r="F25" s="17">
        <v>173</v>
      </c>
      <c r="G25" s="17" t="s">
        <v>3</v>
      </c>
      <c r="H25" s="17" t="s">
        <v>3</v>
      </c>
      <c r="I25" s="17">
        <v>43056</v>
      </c>
      <c r="J25" s="17">
        <v>26378</v>
      </c>
      <c r="K25" s="17">
        <v>44925</v>
      </c>
      <c r="L25" s="17">
        <v>53734</v>
      </c>
      <c r="M25" s="17">
        <v>64685</v>
      </c>
      <c r="N25" s="17">
        <v>32053</v>
      </c>
      <c r="O25" s="17">
        <v>19855</v>
      </c>
      <c r="P25" s="17">
        <v>1439</v>
      </c>
    </row>
    <row r="26" spans="1:16" ht="13.5" customHeight="1" x14ac:dyDescent="0.3">
      <c r="A26" s="148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3.5" customHeight="1" x14ac:dyDescent="0.3">
      <c r="A27" s="148">
        <v>1990</v>
      </c>
      <c r="B27" s="17">
        <v>276204</v>
      </c>
      <c r="C27" s="17">
        <v>20291</v>
      </c>
      <c r="D27" s="17">
        <v>11166</v>
      </c>
      <c r="E27" s="17">
        <v>7217</v>
      </c>
      <c r="F27" s="17">
        <v>-4667</v>
      </c>
      <c r="G27" s="17" t="s">
        <v>3</v>
      </c>
      <c r="H27" s="17" t="s">
        <v>3</v>
      </c>
      <c r="I27" s="17">
        <v>34928</v>
      </c>
      <c r="J27" s="17">
        <v>17612</v>
      </c>
      <c r="K27" s="17">
        <v>39413</v>
      </c>
      <c r="L27" s="17">
        <v>44368</v>
      </c>
      <c r="M27" s="17">
        <v>61805</v>
      </c>
      <c r="N27" s="17">
        <v>28578</v>
      </c>
      <c r="O27" s="17">
        <v>15311</v>
      </c>
      <c r="P27" s="17">
        <v>182</v>
      </c>
    </row>
    <row r="28" spans="1:16" ht="13.5" customHeight="1" x14ac:dyDescent="0.3">
      <c r="A28" s="148">
        <v>1991</v>
      </c>
      <c r="B28" s="17">
        <v>220581</v>
      </c>
      <c r="C28" s="17">
        <v>16024</v>
      </c>
      <c r="D28" s="17">
        <v>8639</v>
      </c>
      <c r="E28" s="17">
        <v>5078</v>
      </c>
      <c r="F28" s="17">
        <v>-7018</v>
      </c>
      <c r="G28" s="17" t="s">
        <v>3</v>
      </c>
      <c r="H28" s="17" t="s">
        <v>3</v>
      </c>
      <c r="I28" s="17">
        <v>26844</v>
      </c>
      <c r="J28" s="17">
        <v>11503</v>
      </c>
      <c r="K28" s="17">
        <v>29793</v>
      </c>
      <c r="L28" s="17">
        <v>35916</v>
      </c>
      <c r="M28" s="17">
        <v>55656</v>
      </c>
      <c r="N28" s="17">
        <v>26645</v>
      </c>
      <c r="O28" s="17">
        <v>11899</v>
      </c>
      <c r="P28" s="17">
        <v>-398</v>
      </c>
    </row>
    <row r="29" spans="1:16" ht="13.5" customHeight="1" x14ac:dyDescent="0.3">
      <c r="A29" s="148">
        <v>1992</v>
      </c>
      <c r="B29" s="17">
        <v>169368</v>
      </c>
      <c r="C29" s="17">
        <v>16686</v>
      </c>
      <c r="D29" s="17">
        <v>7315</v>
      </c>
      <c r="E29" s="17">
        <v>3840</v>
      </c>
      <c r="F29" s="17">
        <v>-5449</v>
      </c>
      <c r="G29" s="17" t="s">
        <v>3</v>
      </c>
      <c r="H29" s="17" t="s">
        <v>3</v>
      </c>
      <c r="I29" s="17">
        <v>18073</v>
      </c>
      <c r="J29" s="17">
        <v>4536</v>
      </c>
      <c r="K29" s="17">
        <v>20237</v>
      </c>
      <c r="L29" s="17">
        <v>27188</v>
      </c>
      <c r="M29" s="17">
        <v>45725</v>
      </c>
      <c r="N29" s="17">
        <v>20167</v>
      </c>
      <c r="O29" s="17">
        <v>11175</v>
      </c>
      <c r="P29" s="17">
        <v>-125</v>
      </c>
    </row>
    <row r="30" spans="1:16" ht="13.5" customHeight="1" x14ac:dyDescent="0.3">
      <c r="A30" s="148">
        <v>1993</v>
      </c>
      <c r="B30" s="17">
        <v>151529</v>
      </c>
      <c r="C30" s="17">
        <v>20045</v>
      </c>
      <c r="D30" s="17">
        <v>5749</v>
      </c>
      <c r="E30" s="17">
        <v>6351</v>
      </c>
      <c r="F30" s="17">
        <v>-10699</v>
      </c>
      <c r="G30" s="17" t="s">
        <v>3</v>
      </c>
      <c r="H30" s="17" t="s">
        <v>3</v>
      </c>
      <c r="I30" s="17">
        <v>19376</v>
      </c>
      <c r="J30" s="17">
        <v>556</v>
      </c>
      <c r="K30" s="17">
        <v>13759</v>
      </c>
      <c r="L30" s="17">
        <v>23462</v>
      </c>
      <c r="M30" s="17">
        <v>39574</v>
      </c>
      <c r="N30" s="17">
        <v>16551</v>
      </c>
      <c r="O30" s="17">
        <v>15173</v>
      </c>
      <c r="P30" s="17">
        <v>1632</v>
      </c>
    </row>
    <row r="31" spans="1:16" ht="13.5" customHeight="1" x14ac:dyDescent="0.3">
      <c r="A31" s="148">
        <v>1994</v>
      </c>
      <c r="B31" s="17">
        <v>122441</v>
      </c>
      <c r="C31" s="17">
        <v>17185</v>
      </c>
      <c r="D31" s="17">
        <v>4589</v>
      </c>
      <c r="E31" s="17">
        <v>3905</v>
      </c>
      <c r="F31" s="17">
        <v>-8952</v>
      </c>
      <c r="G31" s="17" t="s">
        <v>3</v>
      </c>
      <c r="H31" s="17" t="s">
        <v>3</v>
      </c>
      <c r="I31" s="17">
        <v>14509</v>
      </c>
      <c r="J31" s="17">
        <v>3487</v>
      </c>
      <c r="K31" s="17">
        <v>12911</v>
      </c>
      <c r="L31" s="17">
        <v>19575</v>
      </c>
      <c r="M31" s="17">
        <v>30242</v>
      </c>
      <c r="N31" s="17">
        <v>13217</v>
      </c>
      <c r="O31" s="17">
        <v>10057</v>
      </c>
      <c r="P31" s="17">
        <v>1716</v>
      </c>
    </row>
    <row r="32" spans="1:16" ht="13.5" customHeight="1" x14ac:dyDescent="0.3">
      <c r="A32" s="148">
        <v>1995</v>
      </c>
      <c r="B32" s="17">
        <v>69172</v>
      </c>
      <c r="C32" s="17">
        <v>14622</v>
      </c>
      <c r="D32" s="17">
        <v>4454</v>
      </c>
      <c r="E32" s="17">
        <v>2959</v>
      </c>
      <c r="F32" s="17">
        <v>-7368</v>
      </c>
      <c r="G32" s="17" t="s">
        <v>3</v>
      </c>
      <c r="H32" s="17" t="s">
        <v>3</v>
      </c>
      <c r="I32" s="17">
        <v>5372</v>
      </c>
      <c r="J32" s="17">
        <v>-2632</v>
      </c>
      <c r="K32" s="17">
        <v>148</v>
      </c>
      <c r="L32" s="17">
        <v>12280</v>
      </c>
      <c r="M32" s="17">
        <v>21098</v>
      </c>
      <c r="N32" s="17">
        <v>8833</v>
      </c>
      <c r="O32" s="17">
        <v>8459</v>
      </c>
      <c r="P32" s="17">
        <v>947</v>
      </c>
    </row>
    <row r="33" spans="1:16" ht="13.5" customHeight="1" x14ac:dyDescent="0.3">
      <c r="A33" s="148">
        <v>1996</v>
      </c>
      <c r="B33" s="17">
        <v>53770</v>
      </c>
      <c r="C33" s="17">
        <v>10889</v>
      </c>
      <c r="D33" s="17">
        <v>4786</v>
      </c>
      <c r="E33" s="17">
        <v>3158</v>
      </c>
      <c r="F33" s="17">
        <v>-6836</v>
      </c>
      <c r="G33" s="17" t="s">
        <v>151</v>
      </c>
      <c r="H33" s="17" t="s">
        <v>3</v>
      </c>
      <c r="I33" s="17">
        <v>4861</v>
      </c>
      <c r="J33" s="17">
        <v>-3647</v>
      </c>
      <c r="K33" s="17">
        <v>-2935</v>
      </c>
      <c r="L33" s="17">
        <v>13779</v>
      </c>
      <c r="M33" s="17">
        <v>16214</v>
      </c>
      <c r="N33" s="17">
        <v>8205</v>
      </c>
      <c r="O33" s="17">
        <v>4586</v>
      </c>
      <c r="P33" s="17">
        <v>710</v>
      </c>
    </row>
    <row r="34" spans="1:16" ht="13.5" customHeight="1" x14ac:dyDescent="0.3">
      <c r="A34" s="148">
        <v>1997</v>
      </c>
      <c r="B34" s="17">
        <v>62469</v>
      </c>
      <c r="C34" s="17">
        <v>13559</v>
      </c>
      <c r="D34" s="17">
        <v>6374</v>
      </c>
      <c r="E34" s="17">
        <v>1113</v>
      </c>
      <c r="F34" s="17">
        <v>-2198</v>
      </c>
      <c r="G34" s="17">
        <v>2013</v>
      </c>
      <c r="H34" s="17" t="s">
        <v>3</v>
      </c>
      <c r="I34" s="17">
        <v>1313</v>
      </c>
      <c r="J34" s="17">
        <v>-2746</v>
      </c>
      <c r="K34" s="17">
        <v>-5631</v>
      </c>
      <c r="L34" s="17">
        <v>12683</v>
      </c>
      <c r="M34" s="17">
        <v>16223</v>
      </c>
      <c r="N34" s="17">
        <v>11038</v>
      </c>
      <c r="O34" s="17">
        <v>7993</v>
      </c>
      <c r="P34" s="17">
        <v>735</v>
      </c>
    </row>
    <row r="35" spans="1:16" ht="13.5" customHeight="1" x14ac:dyDescent="0.3">
      <c r="A35" s="148">
        <v>1998</v>
      </c>
      <c r="B35" s="17">
        <v>9286</v>
      </c>
      <c r="C35" s="17">
        <v>11042</v>
      </c>
      <c r="D35" s="17">
        <v>5841</v>
      </c>
      <c r="E35" s="17">
        <v>754</v>
      </c>
      <c r="F35" s="17">
        <v>-7944</v>
      </c>
      <c r="G35" s="17">
        <v>2631</v>
      </c>
      <c r="H35" s="17" t="s">
        <v>3</v>
      </c>
      <c r="I35" s="17">
        <v>-5353</v>
      </c>
      <c r="J35" s="17">
        <v>-2826</v>
      </c>
      <c r="K35" s="17">
        <v>-7118</v>
      </c>
      <c r="L35" s="17">
        <v>2275</v>
      </c>
      <c r="M35" s="17">
        <v>1158</v>
      </c>
      <c r="N35" s="17">
        <v>5049</v>
      </c>
      <c r="O35" s="17">
        <v>4570</v>
      </c>
      <c r="P35" s="17">
        <v>-793</v>
      </c>
    </row>
    <row r="36" spans="1:16" ht="13.5" customHeight="1" x14ac:dyDescent="0.3">
      <c r="A36" s="148">
        <v>1999</v>
      </c>
      <c r="B36" s="17">
        <v>94822</v>
      </c>
      <c r="C36" s="17">
        <v>17328</v>
      </c>
      <c r="D36" s="17">
        <v>8617</v>
      </c>
      <c r="E36" s="17">
        <v>5252</v>
      </c>
      <c r="F36" s="17">
        <v>813</v>
      </c>
      <c r="G36" s="17">
        <v>3223</v>
      </c>
      <c r="H36" s="17" t="s">
        <v>3</v>
      </c>
      <c r="I36" s="17">
        <v>3884</v>
      </c>
      <c r="J36" s="17">
        <v>1615</v>
      </c>
      <c r="K36" s="17">
        <v>2415</v>
      </c>
      <c r="L36" s="17">
        <v>11188</v>
      </c>
      <c r="M36" s="17">
        <v>16545</v>
      </c>
      <c r="N36" s="17">
        <v>11505</v>
      </c>
      <c r="O36" s="17">
        <v>11647</v>
      </c>
      <c r="P36" s="17">
        <v>790</v>
      </c>
    </row>
    <row r="37" spans="1:16" ht="13.5" customHeight="1" x14ac:dyDescent="0.3">
      <c r="A37" s="14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13.5" customHeight="1" x14ac:dyDescent="0.3">
      <c r="A38" s="148">
        <v>2000</v>
      </c>
      <c r="B38" s="17">
        <v>150252</v>
      </c>
      <c r="C38" s="17">
        <v>22268</v>
      </c>
      <c r="D38" s="17">
        <v>11863</v>
      </c>
      <c r="E38" s="17">
        <v>10386</v>
      </c>
      <c r="F38" s="17">
        <v>4148</v>
      </c>
      <c r="G38" s="17">
        <v>3660</v>
      </c>
      <c r="H38" s="17" t="s">
        <v>3</v>
      </c>
      <c r="I38" s="17">
        <v>9985</v>
      </c>
      <c r="J38" s="17">
        <v>5357</v>
      </c>
      <c r="K38" s="17">
        <v>7393</v>
      </c>
      <c r="L38" s="17">
        <v>19022</v>
      </c>
      <c r="M38" s="17">
        <v>20836</v>
      </c>
      <c r="N38" s="17">
        <v>17539</v>
      </c>
      <c r="O38" s="17">
        <v>15529</v>
      </c>
      <c r="P38" s="17">
        <v>2266</v>
      </c>
    </row>
    <row r="39" spans="1:16" ht="13.5" customHeight="1" x14ac:dyDescent="0.3">
      <c r="A39" s="148">
        <v>2001</v>
      </c>
      <c r="B39" s="17">
        <v>136115</v>
      </c>
      <c r="C39" s="17">
        <v>21321</v>
      </c>
      <c r="D39" s="17">
        <v>13922</v>
      </c>
      <c r="E39" s="17">
        <v>10322</v>
      </c>
      <c r="F39" s="17">
        <v>4798</v>
      </c>
      <c r="G39" s="17">
        <v>3270</v>
      </c>
      <c r="H39" s="17" t="s">
        <v>3</v>
      </c>
      <c r="I39" s="17">
        <v>9267</v>
      </c>
      <c r="J39" s="17">
        <v>6823</v>
      </c>
      <c r="K39" s="17">
        <v>8453</v>
      </c>
      <c r="L39" s="17">
        <v>5465</v>
      </c>
      <c r="M39" s="17">
        <v>21592</v>
      </c>
      <c r="N39" s="17">
        <v>16579</v>
      </c>
      <c r="O39" s="17">
        <v>12668</v>
      </c>
      <c r="P39" s="17">
        <v>1635</v>
      </c>
    </row>
    <row r="40" spans="1:16" ht="13.5" customHeight="1" x14ac:dyDescent="0.3">
      <c r="A40" s="148">
        <v>2002</v>
      </c>
      <c r="B40" s="17">
        <v>209591</v>
      </c>
      <c r="C40" s="17">
        <v>20963</v>
      </c>
      <c r="D40" s="17">
        <v>14393</v>
      </c>
      <c r="E40" s="17">
        <v>13435</v>
      </c>
      <c r="F40" s="17">
        <v>6842</v>
      </c>
      <c r="G40" s="17">
        <v>4338</v>
      </c>
      <c r="H40" s="17" t="s">
        <v>3</v>
      </c>
      <c r="I40" s="17">
        <v>15432</v>
      </c>
      <c r="J40" s="17">
        <v>10238</v>
      </c>
      <c r="K40" s="17">
        <v>15216</v>
      </c>
      <c r="L40" s="17">
        <v>43848</v>
      </c>
      <c r="M40" s="17">
        <v>27742</v>
      </c>
      <c r="N40" s="17">
        <v>21838</v>
      </c>
      <c r="O40" s="17">
        <v>13882</v>
      </c>
      <c r="P40" s="17">
        <v>1424</v>
      </c>
    </row>
    <row r="41" spans="1:16" ht="13.5" customHeight="1" x14ac:dyDescent="0.3">
      <c r="A41" s="148">
        <v>2003</v>
      </c>
      <c r="B41" s="17">
        <v>136904</v>
      </c>
      <c r="C41" s="17">
        <v>18581</v>
      </c>
      <c r="D41" s="17">
        <v>11911</v>
      </c>
      <c r="E41" s="17">
        <v>14155</v>
      </c>
      <c r="F41" s="17">
        <v>4635</v>
      </c>
      <c r="G41" s="17">
        <v>4413</v>
      </c>
      <c r="H41" s="17" t="s">
        <v>3</v>
      </c>
      <c r="I41" s="17">
        <v>12372</v>
      </c>
      <c r="J41" s="17">
        <v>7157</v>
      </c>
      <c r="K41" s="17">
        <v>2420</v>
      </c>
      <c r="L41" s="17">
        <v>6132</v>
      </c>
      <c r="M41" s="17">
        <v>22936</v>
      </c>
      <c r="N41" s="17">
        <v>18854</v>
      </c>
      <c r="O41" s="17">
        <v>11467</v>
      </c>
      <c r="P41" s="17">
        <v>1871</v>
      </c>
    </row>
    <row r="42" spans="1:16" ht="13.5" customHeight="1" x14ac:dyDescent="0.3">
      <c r="A42" s="148">
        <v>2004</v>
      </c>
      <c r="B42" s="17">
        <v>140336</v>
      </c>
      <c r="C42" s="17">
        <v>16946</v>
      </c>
      <c r="D42" s="17">
        <v>12432</v>
      </c>
      <c r="E42" s="17">
        <v>12458</v>
      </c>
      <c r="F42" s="17">
        <v>5117</v>
      </c>
      <c r="G42" s="17">
        <v>4546</v>
      </c>
      <c r="H42" s="17" t="s">
        <v>3</v>
      </c>
      <c r="I42" s="17">
        <v>8355</v>
      </c>
      <c r="J42" s="17">
        <v>5507</v>
      </c>
      <c r="K42" s="17">
        <v>-13722</v>
      </c>
      <c r="L42" s="17">
        <v>37372</v>
      </c>
      <c r="M42" s="17">
        <v>20106</v>
      </c>
      <c r="N42" s="17">
        <v>17839</v>
      </c>
      <c r="O42" s="17">
        <v>12360</v>
      </c>
      <c r="P42" s="17">
        <v>1020</v>
      </c>
    </row>
    <row r="43" spans="1:16" ht="13.5" customHeight="1" x14ac:dyDescent="0.3">
      <c r="A43" s="148">
        <v>2005</v>
      </c>
      <c r="B43" s="17">
        <v>128809</v>
      </c>
      <c r="C43" s="17">
        <v>17387</v>
      </c>
      <c r="D43" s="17">
        <v>12678</v>
      </c>
      <c r="E43" s="17">
        <v>11497</v>
      </c>
      <c r="F43" s="17">
        <v>5188</v>
      </c>
      <c r="G43" s="17">
        <v>4135</v>
      </c>
      <c r="H43" s="17" t="s">
        <v>3</v>
      </c>
      <c r="I43" s="17">
        <v>10122</v>
      </c>
      <c r="J43" s="17">
        <v>5607</v>
      </c>
      <c r="K43" s="17">
        <v>982</v>
      </c>
      <c r="L43" s="17">
        <v>19403</v>
      </c>
      <c r="M43" s="17">
        <v>13923</v>
      </c>
      <c r="N43" s="17">
        <v>16389</v>
      </c>
      <c r="O43" s="17">
        <v>10380</v>
      </c>
      <c r="P43" s="17">
        <v>1118</v>
      </c>
    </row>
    <row r="44" spans="1:16" ht="13.5" customHeight="1" x14ac:dyDescent="0.3">
      <c r="A44" s="148">
        <v>2006</v>
      </c>
      <c r="B44" s="17">
        <v>111700</v>
      </c>
      <c r="C44" s="17">
        <v>17140</v>
      </c>
      <c r="D44" s="17">
        <v>12448</v>
      </c>
      <c r="E44" s="17">
        <v>9416</v>
      </c>
      <c r="F44" s="17">
        <v>5456</v>
      </c>
      <c r="G44" s="17">
        <v>3887</v>
      </c>
      <c r="H44" s="17" t="s">
        <v>3</v>
      </c>
      <c r="I44" s="17">
        <v>8742</v>
      </c>
      <c r="J44" s="17">
        <v>64</v>
      </c>
      <c r="K44" s="17">
        <v>-2457</v>
      </c>
      <c r="L44" s="17">
        <v>15799</v>
      </c>
      <c r="M44" s="17">
        <v>15250</v>
      </c>
      <c r="N44" s="17">
        <v>14294</v>
      </c>
      <c r="O44" s="17">
        <v>10251</v>
      </c>
      <c r="P44" s="17">
        <v>1410</v>
      </c>
    </row>
    <row r="45" spans="1:16" ht="13.5" customHeight="1" x14ac:dyDescent="0.3">
      <c r="A45" s="148">
        <v>2007</v>
      </c>
      <c r="B45" s="17">
        <v>82938</v>
      </c>
      <c r="C45" s="17">
        <v>17471</v>
      </c>
      <c r="D45" s="17">
        <v>10720</v>
      </c>
      <c r="E45" s="17">
        <v>8633</v>
      </c>
      <c r="F45" s="17">
        <v>5983</v>
      </c>
      <c r="G45" s="17">
        <v>2562</v>
      </c>
      <c r="H45" s="17" t="s">
        <v>3</v>
      </c>
      <c r="I45" s="17">
        <v>5385</v>
      </c>
      <c r="J45" s="17">
        <v>-1613</v>
      </c>
      <c r="K45" s="17">
        <v>-8849</v>
      </c>
      <c r="L45" s="17">
        <v>9340</v>
      </c>
      <c r="M45" s="17">
        <v>10555</v>
      </c>
      <c r="N45" s="17">
        <v>12716</v>
      </c>
      <c r="O45" s="17">
        <v>7808</v>
      </c>
      <c r="P45" s="17">
        <v>2227</v>
      </c>
    </row>
    <row r="46" spans="1:16" ht="13.5" customHeight="1" x14ac:dyDescent="0.3">
      <c r="A46" s="148">
        <v>2008</v>
      </c>
      <c r="B46" s="17">
        <v>52022</v>
      </c>
      <c r="C46" s="17">
        <v>12968</v>
      </c>
      <c r="D46" s="17">
        <v>9249</v>
      </c>
      <c r="E46" s="17">
        <v>6464</v>
      </c>
      <c r="F46" s="17">
        <v>5774</v>
      </c>
      <c r="G46" s="17">
        <v>1274</v>
      </c>
      <c r="H46" s="17" t="s">
        <v>3</v>
      </c>
      <c r="I46" s="17">
        <v>-1260</v>
      </c>
      <c r="J46" s="17">
        <v>-3797</v>
      </c>
      <c r="K46" s="17">
        <v>-7987</v>
      </c>
      <c r="L46" s="17">
        <v>7515</v>
      </c>
      <c r="M46" s="17">
        <v>5545</v>
      </c>
      <c r="N46" s="17">
        <v>8976</v>
      </c>
      <c r="O46" s="17">
        <v>5927</v>
      </c>
      <c r="P46" s="17">
        <v>1374</v>
      </c>
    </row>
    <row r="47" spans="1:16" ht="13.5" customHeight="1" x14ac:dyDescent="0.3">
      <c r="A47" s="148">
        <v>2009</v>
      </c>
      <c r="B47" s="17">
        <v>43987</v>
      </c>
      <c r="C47" s="17">
        <v>11438</v>
      </c>
      <c r="D47" s="17">
        <v>9645</v>
      </c>
      <c r="E47" s="17">
        <v>3929</v>
      </c>
      <c r="F47" s="17">
        <v>6404</v>
      </c>
      <c r="G47" s="17">
        <v>2421</v>
      </c>
      <c r="H47" s="17" t="s">
        <v>3</v>
      </c>
      <c r="I47" s="17">
        <v>-2024</v>
      </c>
      <c r="J47" s="17">
        <v>-1681</v>
      </c>
      <c r="K47" s="17">
        <v>-4827</v>
      </c>
      <c r="L47" s="17">
        <v>3777</v>
      </c>
      <c r="M47" s="17">
        <v>1226</v>
      </c>
      <c r="N47" s="17">
        <v>8130</v>
      </c>
      <c r="O47" s="17">
        <v>4907</v>
      </c>
      <c r="P47" s="17">
        <v>642</v>
      </c>
    </row>
    <row r="48" spans="1:16" ht="13.5" customHeight="1" x14ac:dyDescent="0.3">
      <c r="A48" s="148">
        <v>2010</v>
      </c>
      <c r="B48" s="17">
        <v>31026</v>
      </c>
      <c r="C48" s="17">
        <v>11030</v>
      </c>
      <c r="D48" s="17">
        <v>7811</v>
      </c>
      <c r="E48" s="17">
        <v>2693</v>
      </c>
      <c r="F48" s="17">
        <v>3801</v>
      </c>
      <c r="G48" s="17">
        <v>2588</v>
      </c>
      <c r="H48" s="17" t="s">
        <v>3</v>
      </c>
      <c r="I48" s="17">
        <v>-1211</v>
      </c>
      <c r="J48" s="17">
        <v>-3849</v>
      </c>
      <c r="K48" s="17">
        <v>-8447</v>
      </c>
      <c r="L48" s="17">
        <v>1922</v>
      </c>
      <c r="M48" s="17">
        <v>2727</v>
      </c>
      <c r="N48" s="17">
        <v>6671</v>
      </c>
      <c r="O48" s="17">
        <v>5960</v>
      </c>
      <c r="P48" s="17">
        <v>-670</v>
      </c>
    </row>
    <row r="49" spans="1:16" ht="13.5" customHeight="1" x14ac:dyDescent="0.3">
      <c r="A49" s="148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ht="13.5" customHeight="1" x14ac:dyDescent="0.3">
      <c r="A50" s="148">
        <v>2011</v>
      </c>
      <c r="B50" s="17">
        <v>-8450</v>
      </c>
      <c r="C50" s="17">
        <v>7264</v>
      </c>
      <c r="D50" s="17">
        <v>5485</v>
      </c>
      <c r="E50" s="17">
        <v>1828</v>
      </c>
      <c r="F50" s="17">
        <v>897</v>
      </c>
      <c r="G50" s="17">
        <v>1431</v>
      </c>
      <c r="H50" s="17" t="s">
        <v>154</v>
      </c>
      <c r="I50" s="17">
        <v>-6298</v>
      </c>
      <c r="J50" s="17">
        <v>-6008</v>
      </c>
      <c r="K50" s="17">
        <v>-13420</v>
      </c>
      <c r="L50" s="17">
        <v>-1913</v>
      </c>
      <c r="M50" s="17">
        <v>-212</v>
      </c>
      <c r="N50" s="17">
        <v>2467</v>
      </c>
      <c r="O50" s="17">
        <v>2052</v>
      </c>
      <c r="P50" s="17">
        <v>-2023</v>
      </c>
    </row>
    <row r="51" spans="1:16" s="59" customFormat="1" ht="13.5" customHeight="1" x14ac:dyDescent="0.3">
      <c r="A51" s="148">
        <v>2012</v>
      </c>
      <c r="B51" s="17">
        <v>6900</v>
      </c>
      <c r="C51" s="17">
        <v>8700</v>
      </c>
      <c r="D51" s="17">
        <v>6535</v>
      </c>
      <c r="E51" s="17">
        <v>2564</v>
      </c>
      <c r="F51" s="17">
        <v>-511</v>
      </c>
      <c r="G51" s="17">
        <v>1004</v>
      </c>
      <c r="H51" s="17">
        <v>-6218</v>
      </c>
      <c r="I51" s="17">
        <v>-2776</v>
      </c>
      <c r="J51" s="17">
        <v>-4697</v>
      </c>
      <c r="K51" s="17">
        <v>-7414</v>
      </c>
      <c r="L51" s="17">
        <v>1701</v>
      </c>
      <c r="M51" s="17">
        <v>1588</v>
      </c>
      <c r="N51" s="17">
        <v>4461</v>
      </c>
      <c r="O51" s="17">
        <v>5522</v>
      </c>
      <c r="P51" s="17">
        <v>-3559</v>
      </c>
    </row>
    <row r="52" spans="1:16" s="59" customFormat="1" ht="13.5" customHeight="1" x14ac:dyDescent="0.3">
      <c r="A52" s="148">
        <v>2013</v>
      </c>
      <c r="B52" s="17">
        <v>-4384</v>
      </c>
      <c r="C52" s="17">
        <v>5447</v>
      </c>
      <c r="D52" s="17">
        <v>6099</v>
      </c>
      <c r="E52" s="17">
        <v>3049</v>
      </c>
      <c r="F52" s="17">
        <v>648</v>
      </c>
      <c r="G52" s="17">
        <v>510</v>
      </c>
      <c r="H52" s="17">
        <v>-4408</v>
      </c>
      <c r="I52" s="17">
        <v>-3540</v>
      </c>
      <c r="J52" s="17">
        <v>-4060</v>
      </c>
      <c r="K52" s="17">
        <v>-8416</v>
      </c>
      <c r="L52" s="17">
        <v>543</v>
      </c>
      <c r="M52" s="17">
        <v>-513</v>
      </c>
      <c r="N52" s="17">
        <v>3167</v>
      </c>
      <c r="O52" s="17">
        <v>2843</v>
      </c>
      <c r="P52" s="17">
        <v>-5753</v>
      </c>
    </row>
    <row r="53" spans="1:16" s="59" customFormat="1" ht="13.5" customHeight="1" x14ac:dyDescent="0.3">
      <c r="A53" s="148">
        <v>2014</v>
      </c>
      <c r="B53" s="17">
        <v>-21111</v>
      </c>
      <c r="C53" s="17">
        <v>4155</v>
      </c>
      <c r="D53" s="17">
        <v>5806</v>
      </c>
      <c r="E53" s="17">
        <v>2983</v>
      </c>
      <c r="F53" s="17">
        <v>656</v>
      </c>
      <c r="G53" s="17">
        <v>-334</v>
      </c>
      <c r="H53" s="17">
        <v>-11353</v>
      </c>
      <c r="I53" s="17">
        <v>-3110</v>
      </c>
      <c r="J53" s="17">
        <v>-5622</v>
      </c>
      <c r="K53" s="17">
        <v>-9068</v>
      </c>
      <c r="L53" s="17">
        <v>-544</v>
      </c>
      <c r="M53" s="17">
        <v>-1761</v>
      </c>
      <c r="N53" s="17">
        <v>2848</v>
      </c>
      <c r="O53" s="17">
        <v>2031</v>
      </c>
      <c r="P53" s="17">
        <v>-7798</v>
      </c>
    </row>
    <row r="54" spans="1:16" s="59" customFormat="1" ht="13.5" customHeight="1" x14ac:dyDescent="0.3">
      <c r="A54" s="148">
        <v>2015</v>
      </c>
      <c r="B54" s="17">
        <v>-32950</v>
      </c>
      <c r="C54" s="17">
        <v>4155</v>
      </c>
      <c r="D54" s="17">
        <v>5422</v>
      </c>
      <c r="E54" s="17">
        <v>3382</v>
      </c>
      <c r="F54" s="17">
        <v>-46</v>
      </c>
      <c r="G54" s="17">
        <v>652</v>
      </c>
      <c r="H54" s="17">
        <v>-13454</v>
      </c>
      <c r="I54" s="17">
        <v>-6198</v>
      </c>
      <c r="J54" s="17">
        <v>-5914</v>
      </c>
      <c r="K54" s="17">
        <v>-10134</v>
      </c>
      <c r="L54" s="17">
        <v>-769</v>
      </c>
      <c r="M54" s="17">
        <v>-2149</v>
      </c>
      <c r="N54" s="17">
        <v>1097</v>
      </c>
      <c r="O54" s="17">
        <v>817</v>
      </c>
      <c r="P54" s="17">
        <v>-9811</v>
      </c>
    </row>
    <row r="55" spans="1:16" s="59" customFormat="1" ht="13.5" customHeight="1" x14ac:dyDescent="0.3">
      <c r="A55" s="148">
        <v>2016</v>
      </c>
      <c r="B55" s="17">
        <v>-863</v>
      </c>
      <c r="C55" s="17">
        <v>7566</v>
      </c>
      <c r="D55" s="17">
        <v>5881</v>
      </c>
      <c r="E55" s="17">
        <v>4168</v>
      </c>
      <c r="F55" s="17">
        <v>1509</v>
      </c>
      <c r="G55" s="17">
        <v>2946</v>
      </c>
      <c r="H55" s="17">
        <v>-7685</v>
      </c>
      <c r="I55" s="17">
        <v>-3217</v>
      </c>
      <c r="J55" s="17">
        <v>-4865</v>
      </c>
      <c r="K55" s="17">
        <v>-11066</v>
      </c>
      <c r="L55" s="17">
        <v>1855</v>
      </c>
      <c r="M55" s="17">
        <v>2456</v>
      </c>
      <c r="N55" s="17">
        <v>3495</v>
      </c>
      <c r="O55" s="17">
        <v>5303</v>
      </c>
      <c r="P55" s="17">
        <v>-9209</v>
      </c>
    </row>
    <row r="56" spans="1:16" s="59" customFormat="1" ht="13.5" customHeight="1" x14ac:dyDescent="0.3">
      <c r="A56" s="148">
        <v>2017</v>
      </c>
      <c r="B56" s="17">
        <v>16006</v>
      </c>
      <c r="C56" s="17">
        <v>8334</v>
      </c>
      <c r="D56" s="17">
        <v>7942</v>
      </c>
      <c r="E56" s="17">
        <v>5184</v>
      </c>
      <c r="F56" s="17">
        <v>3081</v>
      </c>
      <c r="G56" s="17">
        <v>5144</v>
      </c>
      <c r="H56" s="17">
        <v>-6502</v>
      </c>
      <c r="I56" s="17">
        <v>-3030</v>
      </c>
      <c r="J56" s="17">
        <v>-3629</v>
      </c>
      <c r="K56" s="17">
        <v>-12855</v>
      </c>
      <c r="L56" s="17">
        <v>3228</v>
      </c>
      <c r="M56" s="17">
        <v>2218</v>
      </c>
      <c r="N56" s="17">
        <v>7007</v>
      </c>
      <c r="O56" s="17">
        <v>8564</v>
      </c>
      <c r="P56" s="17">
        <v>-8680</v>
      </c>
    </row>
    <row r="57" spans="1:16" s="60" customFormat="1" ht="13.5" customHeight="1" x14ac:dyDescent="0.3">
      <c r="A57" s="148">
        <v>2018</v>
      </c>
      <c r="B57" s="17">
        <v>59797</v>
      </c>
      <c r="C57" s="17">
        <v>12240</v>
      </c>
      <c r="D57" s="17">
        <v>10076</v>
      </c>
      <c r="E57" s="17">
        <v>7346</v>
      </c>
      <c r="F57" s="17">
        <v>4931</v>
      </c>
      <c r="G57" s="17">
        <v>5780</v>
      </c>
      <c r="H57" s="17">
        <v>-5308</v>
      </c>
      <c r="I57" s="17">
        <v>2466</v>
      </c>
      <c r="J57" s="17">
        <v>-2528</v>
      </c>
      <c r="K57" s="17">
        <v>-5357</v>
      </c>
      <c r="L57" s="17">
        <v>7992</v>
      </c>
      <c r="M57" s="17">
        <v>4971</v>
      </c>
      <c r="N57" s="17">
        <v>10815</v>
      </c>
      <c r="O57" s="17">
        <v>11685</v>
      </c>
      <c r="P57" s="17">
        <v>-5312</v>
      </c>
    </row>
    <row r="58" spans="1:16" s="60" customFormat="1" ht="13.5" customHeight="1" x14ac:dyDescent="0.3">
      <c r="A58" s="148">
        <v>2019</v>
      </c>
      <c r="B58" s="17">
        <v>82741</v>
      </c>
      <c r="C58" s="17">
        <v>13520</v>
      </c>
      <c r="D58" s="17">
        <v>12472</v>
      </c>
      <c r="E58" s="17">
        <v>7367</v>
      </c>
      <c r="F58" s="17">
        <v>7422</v>
      </c>
      <c r="G58" s="17">
        <v>6521</v>
      </c>
      <c r="H58" s="17">
        <v>-3569</v>
      </c>
      <c r="I58" s="17">
        <v>-198</v>
      </c>
      <c r="J58" s="17">
        <v>157</v>
      </c>
      <c r="K58" s="17">
        <v>4082</v>
      </c>
      <c r="L58" s="17">
        <v>8532</v>
      </c>
      <c r="M58" s="17">
        <v>4929</v>
      </c>
      <c r="N58" s="17">
        <v>10227</v>
      </c>
      <c r="O58" s="17">
        <v>12629</v>
      </c>
      <c r="P58" s="17">
        <v>-1350</v>
      </c>
    </row>
    <row r="59" spans="1:16" s="60" customFormat="1" ht="13.5" customHeight="1" x14ac:dyDescent="0.3">
      <c r="A59" s="148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 s="116" customFormat="1" ht="13.5" customHeight="1" x14ac:dyDescent="0.3">
      <c r="A60" s="154">
        <v>2020</v>
      </c>
      <c r="B60" s="17">
        <v>87775</v>
      </c>
      <c r="C60" s="17">
        <v>13937</v>
      </c>
      <c r="D60" s="17">
        <v>13342</v>
      </c>
      <c r="E60" s="17">
        <v>7711</v>
      </c>
      <c r="F60" s="17">
        <v>8055</v>
      </c>
      <c r="G60" s="17">
        <v>6128</v>
      </c>
      <c r="H60" s="17">
        <v>-1057</v>
      </c>
      <c r="I60" s="17">
        <v>-2721</v>
      </c>
      <c r="J60" s="17">
        <v>598</v>
      </c>
      <c r="K60" s="17">
        <v>3904</v>
      </c>
      <c r="L60" s="17">
        <v>7224</v>
      </c>
      <c r="M60" s="17">
        <v>5570</v>
      </c>
      <c r="N60" s="17">
        <v>13966</v>
      </c>
      <c r="O60" s="17">
        <v>13522</v>
      </c>
      <c r="P60" s="17">
        <v>-2404</v>
      </c>
    </row>
    <row r="61" spans="1:16" s="116" customFormat="1" ht="13.5" customHeight="1" x14ac:dyDescent="0.3">
      <c r="A61" s="154">
        <v>2021</v>
      </c>
      <c r="B61" s="17">
        <v>55697</v>
      </c>
      <c r="C61" s="17">
        <v>12875</v>
      </c>
      <c r="D61" s="17">
        <v>11690</v>
      </c>
      <c r="E61" s="17">
        <v>6586</v>
      </c>
      <c r="F61" s="17">
        <v>5829</v>
      </c>
      <c r="G61" s="17">
        <v>5797</v>
      </c>
      <c r="H61" s="17">
        <v>-2175</v>
      </c>
      <c r="I61" s="17">
        <v>-4915</v>
      </c>
      <c r="J61" s="17">
        <v>-856</v>
      </c>
      <c r="K61" s="17">
        <v>-2596</v>
      </c>
      <c r="L61" s="17">
        <v>4106</v>
      </c>
      <c r="M61" s="17">
        <v>2419</v>
      </c>
      <c r="N61" s="17">
        <v>8208</v>
      </c>
      <c r="O61" s="17">
        <v>11963</v>
      </c>
      <c r="P61" s="17">
        <v>-3234</v>
      </c>
    </row>
    <row r="62" spans="1:16" s="116" customFormat="1" ht="13.5" customHeight="1" x14ac:dyDescent="0.3">
      <c r="A62" s="154">
        <v>2022</v>
      </c>
      <c r="B62" s="17">
        <v>36643</v>
      </c>
      <c r="C62" s="17">
        <v>13000</v>
      </c>
      <c r="D62" s="17">
        <v>10190</v>
      </c>
      <c r="E62" s="17">
        <v>6170</v>
      </c>
      <c r="F62" s="17">
        <v>3356</v>
      </c>
      <c r="G62" s="17">
        <v>5273</v>
      </c>
      <c r="H62" s="17">
        <v>-1772</v>
      </c>
      <c r="I62" s="17">
        <v>-6720</v>
      </c>
      <c r="J62" s="17">
        <v>-3691</v>
      </c>
      <c r="K62" s="17">
        <v>-7957</v>
      </c>
      <c r="L62" s="17">
        <v>3003</v>
      </c>
      <c r="M62" s="17">
        <v>833</v>
      </c>
      <c r="N62" s="17">
        <v>6780</v>
      </c>
      <c r="O62" s="17">
        <v>10787</v>
      </c>
      <c r="P62" s="17">
        <v>-2609</v>
      </c>
    </row>
    <row r="63" spans="1:16" s="116" customFormat="1" ht="13.5" customHeight="1" x14ac:dyDescent="0.3">
      <c r="A63" s="154">
        <v>2023</v>
      </c>
      <c r="B63" s="17">
        <v>46869</v>
      </c>
      <c r="C63" s="17">
        <v>11226</v>
      </c>
      <c r="D63" s="17">
        <v>8175</v>
      </c>
      <c r="E63" s="17">
        <v>6013</v>
      </c>
      <c r="F63" s="17">
        <v>3877</v>
      </c>
      <c r="G63" s="17">
        <v>4172</v>
      </c>
      <c r="H63" s="17">
        <v>306</v>
      </c>
      <c r="I63" s="17">
        <v>678</v>
      </c>
      <c r="J63" s="17">
        <v>-1518</v>
      </c>
      <c r="K63" s="17">
        <v>-6478</v>
      </c>
      <c r="L63" s="17">
        <v>2927</v>
      </c>
      <c r="M63" s="17">
        <v>2362</v>
      </c>
      <c r="N63" s="17">
        <v>4886</v>
      </c>
      <c r="O63" s="17">
        <v>9617</v>
      </c>
      <c r="P63" s="17">
        <v>626</v>
      </c>
    </row>
    <row r="64" spans="1:16" s="116" customFormat="1" ht="13.5" customHeight="1" x14ac:dyDescent="0.3">
      <c r="A64" s="154">
        <v>2024</v>
      </c>
      <c r="B64" s="17">
        <v>45169</v>
      </c>
      <c r="C64" s="17">
        <v>10235</v>
      </c>
      <c r="D64" s="17">
        <v>7818</v>
      </c>
      <c r="E64" s="17">
        <v>5885</v>
      </c>
      <c r="F64" s="17">
        <v>4110</v>
      </c>
      <c r="G64" s="17">
        <v>3251</v>
      </c>
      <c r="H64" s="17">
        <v>241</v>
      </c>
      <c r="I64" s="17">
        <v>915</v>
      </c>
      <c r="J64" s="17">
        <v>-1102</v>
      </c>
      <c r="K64" s="17">
        <v>-7175</v>
      </c>
      <c r="L64" s="17">
        <v>3725</v>
      </c>
      <c r="M64" s="17">
        <v>2602</v>
      </c>
      <c r="N64" s="17">
        <v>4775</v>
      </c>
      <c r="O64" s="17">
        <v>8213</v>
      </c>
      <c r="P64" s="17">
        <v>1676</v>
      </c>
    </row>
    <row r="65" spans="1:16" s="59" customFormat="1" ht="11.45" customHeight="1" thickBot="1" x14ac:dyDescent="0.35">
      <c r="A65" s="175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</row>
    <row r="66" spans="1:16" s="56" customFormat="1" ht="15.95" customHeight="1" x14ac:dyDescent="0.15">
      <c r="A66" s="106" t="s">
        <v>152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</row>
  </sheetData>
  <mergeCells count="1">
    <mergeCell ref="A1:P1"/>
  </mergeCells>
  <phoneticPr fontId="1" type="noConversion"/>
  <conditionalFormatting sqref="B5:P64">
    <cfRule type="cellIs" dxfId="5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7"/>
  <sheetViews>
    <sheetView showGridLines="0" view="pageBreakPreview" zoomScale="115" zoomScaleNormal="115" zoomScaleSheetLayoutView="115" workbookViewId="0">
      <selection sqref="A1:P1"/>
    </sheetView>
  </sheetViews>
  <sheetFormatPr defaultRowHeight="14.25" customHeight="1" x14ac:dyDescent="0.3"/>
  <cols>
    <col min="1" max="1" width="7.375" style="2" customWidth="1"/>
    <col min="2" max="2" width="6.125" style="2" customWidth="1"/>
    <col min="3" max="16" width="5.875" style="2" customWidth="1"/>
    <col min="17" max="16384" width="9" style="2"/>
  </cols>
  <sheetData>
    <row r="1" spans="1:16" s="123" customFormat="1" ht="25.5" customHeight="1" x14ac:dyDescent="0.3">
      <c r="A1" s="272" t="s">
        <v>275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</row>
    <row r="2" spans="1:16" s="121" customFormat="1" ht="12.75" customHeight="1" thickBot="1" x14ac:dyDescent="0.35">
      <c r="B2" s="5"/>
      <c r="C2" s="122"/>
      <c r="K2" s="7"/>
      <c r="P2" s="7" t="s">
        <v>23</v>
      </c>
    </row>
    <row r="3" spans="1:16" s="1" customFormat="1" ht="24" customHeight="1" x14ac:dyDescent="0.3">
      <c r="A3" s="173" t="s">
        <v>231</v>
      </c>
      <c r="B3" s="241" t="s">
        <v>313</v>
      </c>
      <c r="C3" s="240" t="s">
        <v>27</v>
      </c>
      <c r="D3" s="240" t="s">
        <v>28</v>
      </c>
      <c r="E3" s="240" t="s">
        <v>29</v>
      </c>
      <c r="F3" s="240" t="s">
        <v>30</v>
      </c>
      <c r="G3" s="240" t="s">
        <v>31</v>
      </c>
      <c r="H3" s="240" t="s">
        <v>153</v>
      </c>
      <c r="I3" s="240" t="s">
        <v>32</v>
      </c>
      <c r="J3" s="240" t="s">
        <v>33</v>
      </c>
      <c r="K3" s="240" t="s">
        <v>34</v>
      </c>
      <c r="L3" s="240" t="s">
        <v>35</v>
      </c>
      <c r="M3" s="240" t="s">
        <v>36</v>
      </c>
      <c r="N3" s="240" t="s">
        <v>37</v>
      </c>
      <c r="O3" s="240" t="s">
        <v>38</v>
      </c>
      <c r="P3" s="174" t="s">
        <v>39</v>
      </c>
    </row>
    <row r="4" spans="1:16" s="1" customFormat="1" ht="12.75" customHeight="1" x14ac:dyDescent="0.3">
      <c r="A4" s="117"/>
      <c r="B4" s="16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</row>
    <row r="5" spans="1:16" s="1" customFormat="1" ht="14.1" customHeight="1" x14ac:dyDescent="0.3">
      <c r="A5" s="177"/>
      <c r="B5" s="298" t="s">
        <v>246</v>
      </c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</row>
    <row r="6" spans="1:16" s="1" customFormat="1" ht="9.9499999999999993" customHeight="1" x14ac:dyDescent="0.3">
      <c r="A6" s="117"/>
      <c r="B6" s="16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</row>
    <row r="7" spans="1:16" ht="15.95" customHeight="1" x14ac:dyDescent="0.3">
      <c r="A7" s="148">
        <v>2004</v>
      </c>
      <c r="B7" s="17">
        <v>95460</v>
      </c>
      <c r="C7" s="17">
        <v>11502</v>
      </c>
      <c r="D7" s="17">
        <v>7574</v>
      </c>
      <c r="E7" s="17">
        <v>7955</v>
      </c>
      <c r="F7" s="17">
        <v>3366</v>
      </c>
      <c r="G7" s="17">
        <v>2397</v>
      </c>
      <c r="H7" s="119" t="s">
        <v>4</v>
      </c>
      <c r="I7" s="17">
        <v>7438</v>
      </c>
      <c r="J7" s="17">
        <v>5111</v>
      </c>
      <c r="K7" s="17">
        <v>-2376</v>
      </c>
      <c r="L7" s="17">
        <v>18185</v>
      </c>
      <c r="M7" s="17">
        <v>13439</v>
      </c>
      <c r="N7" s="17">
        <v>11632</v>
      </c>
      <c r="O7" s="17">
        <v>8118</v>
      </c>
      <c r="P7" s="17">
        <v>1119</v>
      </c>
    </row>
    <row r="8" spans="1:16" ht="15.95" customHeight="1" x14ac:dyDescent="0.3">
      <c r="A8" s="148">
        <v>2005</v>
      </c>
      <c r="B8" s="17">
        <v>100649</v>
      </c>
      <c r="C8" s="17">
        <v>12147</v>
      </c>
      <c r="D8" s="17">
        <v>7730</v>
      </c>
      <c r="E8" s="17">
        <v>7788</v>
      </c>
      <c r="F8" s="17">
        <v>3930</v>
      </c>
      <c r="G8" s="17">
        <v>2428</v>
      </c>
      <c r="H8" s="119" t="s">
        <v>4</v>
      </c>
      <c r="I8" s="17">
        <v>8763</v>
      </c>
      <c r="J8" s="17">
        <v>5911</v>
      </c>
      <c r="K8" s="17">
        <v>6528</v>
      </c>
      <c r="L8" s="17">
        <v>13706</v>
      </c>
      <c r="M8" s="17">
        <v>11205</v>
      </c>
      <c r="N8" s="17">
        <v>11542</v>
      </c>
      <c r="O8" s="17">
        <v>7925</v>
      </c>
      <c r="P8" s="17">
        <v>1046</v>
      </c>
    </row>
    <row r="9" spans="1:16" ht="15.95" customHeight="1" x14ac:dyDescent="0.3">
      <c r="A9" s="148">
        <v>2006</v>
      </c>
      <c r="B9" s="17">
        <v>92980</v>
      </c>
      <c r="C9" s="17">
        <v>12215</v>
      </c>
      <c r="D9" s="17">
        <v>8101</v>
      </c>
      <c r="E9" s="17">
        <v>6453</v>
      </c>
      <c r="F9" s="17">
        <v>4482</v>
      </c>
      <c r="G9" s="17">
        <v>2514</v>
      </c>
      <c r="H9" s="119" t="s">
        <v>4</v>
      </c>
      <c r="I9" s="17">
        <v>8709</v>
      </c>
      <c r="J9" s="17">
        <v>3988</v>
      </c>
      <c r="K9" s="17">
        <v>4392</v>
      </c>
      <c r="L9" s="17">
        <v>12056</v>
      </c>
      <c r="M9" s="17">
        <v>10974</v>
      </c>
      <c r="N9" s="17">
        <v>10096</v>
      </c>
      <c r="O9" s="17">
        <v>7503</v>
      </c>
      <c r="P9" s="17">
        <v>1497</v>
      </c>
    </row>
    <row r="10" spans="1:16" ht="15.95" customHeight="1" x14ac:dyDescent="0.3">
      <c r="A10" s="148">
        <v>2007</v>
      </c>
      <c r="B10" s="17">
        <v>80497</v>
      </c>
      <c r="C10" s="17">
        <v>12014</v>
      </c>
      <c r="D10" s="17">
        <v>7494</v>
      </c>
      <c r="E10" s="17">
        <v>5643</v>
      </c>
      <c r="F10" s="17">
        <v>4898</v>
      </c>
      <c r="G10" s="17">
        <v>1771</v>
      </c>
      <c r="H10" s="119" t="s">
        <v>4</v>
      </c>
      <c r="I10" s="17">
        <v>7360</v>
      </c>
      <c r="J10" s="17">
        <v>3000</v>
      </c>
      <c r="K10" s="17">
        <v>1983</v>
      </c>
      <c r="L10" s="17">
        <v>8735</v>
      </c>
      <c r="M10" s="17">
        <v>8717</v>
      </c>
      <c r="N10" s="17">
        <v>9986</v>
      </c>
      <c r="O10" s="17">
        <v>6852</v>
      </c>
      <c r="P10" s="17">
        <v>2044</v>
      </c>
    </row>
    <row r="11" spans="1:16" ht="15.95" customHeight="1" x14ac:dyDescent="0.3">
      <c r="A11" s="148">
        <v>2008</v>
      </c>
      <c r="B11" s="17">
        <v>62258</v>
      </c>
      <c r="C11" s="17">
        <v>9144</v>
      </c>
      <c r="D11" s="17">
        <v>6727</v>
      </c>
      <c r="E11" s="17">
        <v>4500</v>
      </c>
      <c r="F11" s="17">
        <v>4682</v>
      </c>
      <c r="G11" s="17">
        <v>1227</v>
      </c>
      <c r="H11" s="119" t="s">
        <v>4</v>
      </c>
      <c r="I11" s="17">
        <v>4485</v>
      </c>
      <c r="J11" s="17">
        <v>1989</v>
      </c>
      <c r="K11" s="17">
        <v>2378</v>
      </c>
      <c r="L11" s="17">
        <v>6852</v>
      </c>
      <c r="M11" s="17">
        <v>6039</v>
      </c>
      <c r="N11" s="17">
        <v>8008</v>
      </c>
      <c r="O11" s="17">
        <v>5052</v>
      </c>
      <c r="P11" s="17">
        <v>1175</v>
      </c>
    </row>
    <row r="12" spans="1:16" ht="15.95" customHeight="1" x14ac:dyDescent="0.3">
      <c r="A12" s="148">
        <v>2009</v>
      </c>
      <c r="B12" s="17">
        <v>54985</v>
      </c>
      <c r="C12" s="17">
        <v>8334</v>
      </c>
      <c r="D12" s="17">
        <v>6458</v>
      </c>
      <c r="E12" s="17">
        <v>3436</v>
      </c>
      <c r="F12" s="17">
        <v>4014</v>
      </c>
      <c r="G12" s="17">
        <v>1897</v>
      </c>
      <c r="H12" s="119" t="s">
        <v>4</v>
      </c>
      <c r="I12" s="17">
        <v>4027</v>
      </c>
      <c r="J12" s="17">
        <v>2415</v>
      </c>
      <c r="K12" s="17">
        <v>1820</v>
      </c>
      <c r="L12" s="17">
        <v>5387</v>
      </c>
      <c r="M12" s="17">
        <v>3691</v>
      </c>
      <c r="N12" s="17">
        <v>7813</v>
      </c>
      <c r="O12" s="17">
        <v>4719</v>
      </c>
      <c r="P12" s="17">
        <v>974</v>
      </c>
    </row>
    <row r="13" spans="1:16" ht="14.1" customHeight="1" x14ac:dyDescent="0.3">
      <c r="A13" s="148"/>
      <c r="B13" s="17"/>
      <c r="C13" s="17"/>
      <c r="D13" s="17"/>
      <c r="E13" s="17"/>
      <c r="F13" s="17"/>
      <c r="G13" s="17"/>
      <c r="H13" s="119"/>
      <c r="I13" s="17"/>
      <c r="J13" s="17"/>
      <c r="K13" s="17"/>
      <c r="L13" s="17"/>
      <c r="M13" s="17"/>
      <c r="N13" s="17"/>
      <c r="O13" s="17"/>
      <c r="P13" s="17"/>
    </row>
    <row r="14" spans="1:16" ht="15.95" customHeight="1" x14ac:dyDescent="0.3">
      <c r="A14" s="148">
        <v>2010</v>
      </c>
      <c r="B14" s="17">
        <v>54752</v>
      </c>
      <c r="C14" s="17">
        <v>8447</v>
      </c>
      <c r="D14" s="17">
        <v>5997</v>
      </c>
      <c r="E14" s="17">
        <v>3568</v>
      </c>
      <c r="F14" s="17">
        <v>3170</v>
      </c>
      <c r="G14" s="17">
        <v>1912</v>
      </c>
      <c r="H14" s="119" t="s">
        <v>4</v>
      </c>
      <c r="I14" s="17">
        <v>4894</v>
      </c>
      <c r="J14" s="17">
        <v>1659</v>
      </c>
      <c r="K14" s="17">
        <v>997</v>
      </c>
      <c r="L14" s="17">
        <v>5274</v>
      </c>
      <c r="M14" s="17">
        <v>5138</v>
      </c>
      <c r="N14" s="17">
        <v>7236</v>
      </c>
      <c r="O14" s="17">
        <v>5725</v>
      </c>
      <c r="P14" s="17">
        <v>735</v>
      </c>
    </row>
    <row r="15" spans="1:16" ht="15.95" customHeight="1" x14ac:dyDescent="0.3">
      <c r="A15" s="148">
        <v>2011</v>
      </c>
      <c r="B15" s="17">
        <v>39634</v>
      </c>
      <c r="C15" s="17">
        <v>6859</v>
      </c>
      <c r="D15" s="17">
        <v>4949</v>
      </c>
      <c r="E15" s="17">
        <v>2954</v>
      </c>
      <c r="F15" s="17">
        <v>2292</v>
      </c>
      <c r="G15" s="17">
        <v>1357</v>
      </c>
      <c r="H15" s="119" t="s">
        <v>4</v>
      </c>
      <c r="I15" s="17">
        <v>2502</v>
      </c>
      <c r="J15" s="17">
        <v>1476</v>
      </c>
      <c r="K15" s="17">
        <v>-357</v>
      </c>
      <c r="L15" s="17">
        <v>3276</v>
      </c>
      <c r="M15" s="17">
        <v>4057</v>
      </c>
      <c r="N15" s="17">
        <v>5439</v>
      </c>
      <c r="O15" s="17">
        <v>4461</v>
      </c>
      <c r="P15" s="17">
        <v>369</v>
      </c>
    </row>
    <row r="16" spans="1:16" ht="15.95" customHeight="1" x14ac:dyDescent="0.3">
      <c r="A16" s="148">
        <v>2012</v>
      </c>
      <c r="B16" s="17">
        <v>51000</v>
      </c>
      <c r="C16" s="17">
        <v>7780</v>
      </c>
      <c r="D16" s="17">
        <v>5756</v>
      </c>
      <c r="E16" s="17">
        <v>3817</v>
      </c>
      <c r="F16" s="17">
        <v>2043</v>
      </c>
      <c r="G16" s="17">
        <v>1179</v>
      </c>
      <c r="H16" s="17">
        <v>-942</v>
      </c>
      <c r="I16" s="17">
        <v>4542</v>
      </c>
      <c r="J16" s="17">
        <v>1882</v>
      </c>
      <c r="K16" s="17">
        <v>1045</v>
      </c>
      <c r="L16" s="17">
        <v>5824</v>
      </c>
      <c r="M16" s="17">
        <v>4978</v>
      </c>
      <c r="N16" s="17">
        <v>6934</v>
      </c>
      <c r="O16" s="17">
        <v>6083</v>
      </c>
      <c r="P16" s="17">
        <v>79</v>
      </c>
    </row>
    <row r="17" spans="1:16" ht="15.95" customHeight="1" x14ac:dyDescent="0.3">
      <c r="A17" s="148">
        <v>2013</v>
      </c>
      <c r="B17" s="17">
        <v>43211</v>
      </c>
      <c r="C17" s="17">
        <v>6074</v>
      </c>
      <c r="D17" s="17">
        <v>5459</v>
      </c>
      <c r="E17" s="17">
        <v>3529</v>
      </c>
      <c r="F17" s="17">
        <v>2344</v>
      </c>
      <c r="G17" s="17">
        <v>1122</v>
      </c>
      <c r="H17" s="17">
        <v>-747</v>
      </c>
      <c r="I17" s="17">
        <v>3685</v>
      </c>
      <c r="J17" s="17">
        <v>1688</v>
      </c>
      <c r="K17" s="17">
        <v>617</v>
      </c>
      <c r="L17" s="17">
        <v>4999</v>
      </c>
      <c r="M17" s="17">
        <v>4044</v>
      </c>
      <c r="N17" s="17">
        <v>6047</v>
      </c>
      <c r="O17" s="17">
        <v>4807</v>
      </c>
      <c r="P17" s="17">
        <v>-457</v>
      </c>
    </row>
    <row r="18" spans="1:16" ht="15.95" customHeight="1" x14ac:dyDescent="0.3">
      <c r="A18" s="148">
        <v>2014</v>
      </c>
      <c r="B18" s="17">
        <v>40017</v>
      </c>
      <c r="C18" s="17">
        <v>5660</v>
      </c>
      <c r="D18" s="17">
        <v>5406</v>
      </c>
      <c r="E18" s="17">
        <v>3843</v>
      </c>
      <c r="F18" s="17">
        <v>2234</v>
      </c>
      <c r="G18" s="17">
        <v>1052</v>
      </c>
      <c r="H18" s="17">
        <v>-2577</v>
      </c>
      <c r="I18" s="17">
        <v>4353</v>
      </c>
      <c r="J18" s="17">
        <v>1175</v>
      </c>
      <c r="K18" s="17">
        <v>621</v>
      </c>
      <c r="L18" s="17">
        <v>5255</v>
      </c>
      <c r="M18" s="17">
        <v>3560</v>
      </c>
      <c r="N18" s="17">
        <v>6119</v>
      </c>
      <c r="O18" s="17">
        <v>4690</v>
      </c>
      <c r="P18" s="17">
        <v>-1374</v>
      </c>
    </row>
    <row r="19" spans="1:16" ht="15.95" customHeight="1" x14ac:dyDescent="0.3">
      <c r="A19" s="148">
        <v>2015</v>
      </c>
      <c r="B19" s="17">
        <v>33971</v>
      </c>
      <c r="C19" s="17">
        <v>4940</v>
      </c>
      <c r="D19" s="17">
        <v>5151</v>
      </c>
      <c r="E19" s="17">
        <v>3757</v>
      </c>
      <c r="F19" s="17">
        <v>1873</v>
      </c>
      <c r="G19" s="17">
        <v>1153</v>
      </c>
      <c r="H19" s="17">
        <v>-3097</v>
      </c>
      <c r="I19" s="17">
        <v>2474</v>
      </c>
      <c r="J19" s="17">
        <v>1483</v>
      </c>
      <c r="K19" s="17">
        <v>519</v>
      </c>
      <c r="L19" s="17">
        <v>4245</v>
      </c>
      <c r="M19" s="17">
        <v>3712</v>
      </c>
      <c r="N19" s="17">
        <v>4994</v>
      </c>
      <c r="O19" s="17">
        <v>4067</v>
      </c>
      <c r="P19" s="17">
        <v>-1300</v>
      </c>
    </row>
    <row r="20" spans="1:16" ht="15.95" customHeight="1" x14ac:dyDescent="0.3">
      <c r="A20" s="148">
        <v>2016</v>
      </c>
      <c r="B20" s="17">
        <v>51025</v>
      </c>
      <c r="C20" s="17">
        <v>6594</v>
      </c>
      <c r="D20" s="17">
        <v>5399</v>
      </c>
      <c r="E20" s="17">
        <v>4240</v>
      </c>
      <c r="F20" s="17">
        <v>2429</v>
      </c>
      <c r="G20" s="17">
        <v>2353</v>
      </c>
      <c r="H20" s="17">
        <v>-1859</v>
      </c>
      <c r="I20" s="17">
        <v>4717</v>
      </c>
      <c r="J20" s="17">
        <v>2383</v>
      </c>
      <c r="K20" s="17">
        <v>1242</v>
      </c>
      <c r="L20" s="17">
        <v>5608</v>
      </c>
      <c r="M20" s="17">
        <v>5586</v>
      </c>
      <c r="N20" s="17">
        <v>6962</v>
      </c>
      <c r="O20" s="17">
        <v>6405</v>
      </c>
      <c r="P20" s="17">
        <v>-1034</v>
      </c>
    </row>
    <row r="21" spans="1:16" ht="15.95" customHeight="1" x14ac:dyDescent="0.3">
      <c r="A21" s="148">
        <v>2017</v>
      </c>
      <c r="B21" s="17">
        <v>56545</v>
      </c>
      <c r="C21" s="17">
        <v>7175</v>
      </c>
      <c r="D21" s="17">
        <v>6233</v>
      </c>
      <c r="E21" s="17">
        <v>4756</v>
      </c>
      <c r="F21" s="17">
        <v>3258</v>
      </c>
      <c r="G21" s="17">
        <v>3392</v>
      </c>
      <c r="H21" s="17">
        <v>-1331</v>
      </c>
      <c r="I21" s="17">
        <v>4472</v>
      </c>
      <c r="J21" s="17">
        <v>2167</v>
      </c>
      <c r="K21" s="17">
        <v>604</v>
      </c>
      <c r="L21" s="17">
        <v>5860</v>
      </c>
      <c r="M21" s="17">
        <v>5176</v>
      </c>
      <c r="N21" s="17">
        <v>7752</v>
      </c>
      <c r="O21" s="17">
        <v>8088</v>
      </c>
      <c r="P21" s="17">
        <v>-1057</v>
      </c>
    </row>
    <row r="22" spans="1:16" ht="15.95" customHeight="1" x14ac:dyDescent="0.3">
      <c r="A22" s="148">
        <v>2018</v>
      </c>
      <c r="B22" s="17">
        <v>75696</v>
      </c>
      <c r="C22" s="17">
        <v>9169</v>
      </c>
      <c r="D22" s="17">
        <v>7336</v>
      </c>
      <c r="E22" s="17">
        <v>5368</v>
      </c>
      <c r="F22" s="17">
        <v>4216</v>
      </c>
      <c r="G22" s="17">
        <v>4021</v>
      </c>
      <c r="H22" s="17">
        <v>-1135</v>
      </c>
      <c r="I22" s="17">
        <v>7296</v>
      </c>
      <c r="J22" s="17">
        <v>3273</v>
      </c>
      <c r="K22" s="17">
        <v>3421</v>
      </c>
      <c r="L22" s="17">
        <v>8008</v>
      </c>
      <c r="M22" s="17">
        <v>5862</v>
      </c>
      <c r="N22" s="17">
        <v>9312</v>
      </c>
      <c r="O22" s="17">
        <v>9741</v>
      </c>
      <c r="P22" s="17">
        <v>-192</v>
      </c>
    </row>
    <row r="23" spans="1:16" ht="15.95" customHeight="1" x14ac:dyDescent="0.3">
      <c r="A23" s="148">
        <v>2019</v>
      </c>
      <c r="B23" s="17">
        <v>86661</v>
      </c>
      <c r="C23" s="17">
        <v>10343</v>
      </c>
      <c r="D23" s="17">
        <v>8999</v>
      </c>
      <c r="E23" s="17">
        <v>5672</v>
      </c>
      <c r="F23" s="17">
        <v>5205</v>
      </c>
      <c r="G23" s="17">
        <v>4460</v>
      </c>
      <c r="H23" s="17">
        <v>-386</v>
      </c>
      <c r="I23" s="17">
        <v>5959</v>
      </c>
      <c r="J23" s="17">
        <v>4030</v>
      </c>
      <c r="K23" s="17">
        <v>6480</v>
      </c>
      <c r="L23" s="17">
        <v>8309</v>
      </c>
      <c r="M23" s="17">
        <v>6060</v>
      </c>
      <c r="N23" s="17">
        <v>9571</v>
      </c>
      <c r="O23" s="17">
        <v>10643</v>
      </c>
      <c r="P23" s="17">
        <v>1316</v>
      </c>
    </row>
    <row r="24" spans="1:16" ht="14.1" customHeight="1" x14ac:dyDescent="0.3">
      <c r="A24" s="148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.95" customHeight="1" x14ac:dyDescent="0.3">
      <c r="A25" s="148">
        <v>2020</v>
      </c>
      <c r="B25" s="17">
        <v>94297</v>
      </c>
      <c r="C25" s="17">
        <v>10366</v>
      </c>
      <c r="D25" s="17">
        <v>9441</v>
      </c>
      <c r="E25" s="17">
        <v>6026</v>
      </c>
      <c r="F25" s="17">
        <v>5734</v>
      </c>
      <c r="G25" s="17">
        <v>4255</v>
      </c>
      <c r="H25" s="17">
        <v>16</v>
      </c>
      <c r="I25" s="17">
        <v>6051</v>
      </c>
      <c r="J25" s="17">
        <v>5057</v>
      </c>
      <c r="K25" s="17">
        <v>7607</v>
      </c>
      <c r="L25" s="17">
        <v>8054</v>
      </c>
      <c r="M25" s="17">
        <v>7266</v>
      </c>
      <c r="N25" s="17">
        <v>11606</v>
      </c>
      <c r="O25" s="17">
        <v>11798</v>
      </c>
      <c r="P25" s="17">
        <v>1020</v>
      </c>
    </row>
    <row r="26" spans="1:16" ht="15.95" customHeight="1" x14ac:dyDescent="0.3">
      <c r="A26" s="148">
        <v>2021</v>
      </c>
      <c r="B26" s="17">
        <v>78003</v>
      </c>
      <c r="C26" s="17">
        <v>10112</v>
      </c>
      <c r="D26" s="17">
        <v>9064</v>
      </c>
      <c r="E26" s="17">
        <v>5478</v>
      </c>
      <c r="F26" s="17">
        <v>4265</v>
      </c>
      <c r="G26" s="17">
        <v>3956</v>
      </c>
      <c r="H26" s="17">
        <v>-524</v>
      </c>
      <c r="I26" s="17">
        <v>5030</v>
      </c>
      <c r="J26" s="17">
        <v>3934</v>
      </c>
      <c r="K26" s="17">
        <v>4936</v>
      </c>
      <c r="L26" s="17">
        <v>6288</v>
      </c>
      <c r="M26" s="17">
        <v>5513</v>
      </c>
      <c r="N26" s="17">
        <v>8444</v>
      </c>
      <c r="O26" s="17">
        <v>10516</v>
      </c>
      <c r="P26" s="17">
        <v>991</v>
      </c>
    </row>
    <row r="27" spans="1:16" ht="15.95" customHeight="1" x14ac:dyDescent="0.3">
      <c r="A27" s="148">
        <v>2022</v>
      </c>
      <c r="B27" s="17">
        <v>70143</v>
      </c>
      <c r="C27" s="17">
        <v>10603</v>
      </c>
      <c r="D27" s="17">
        <v>8881</v>
      </c>
      <c r="E27" s="17">
        <v>5531</v>
      </c>
      <c r="F27" s="17">
        <v>3666</v>
      </c>
      <c r="G27" s="17">
        <v>3958</v>
      </c>
      <c r="H27" s="17">
        <v>145</v>
      </c>
      <c r="I27" s="17">
        <v>2584</v>
      </c>
      <c r="J27" s="17">
        <v>2123</v>
      </c>
      <c r="K27" s="17">
        <v>2954</v>
      </c>
      <c r="L27" s="17">
        <v>6069</v>
      </c>
      <c r="M27" s="17">
        <v>4656</v>
      </c>
      <c r="N27" s="17">
        <v>7576</v>
      </c>
      <c r="O27" s="17">
        <v>10061</v>
      </c>
      <c r="P27" s="17">
        <v>1336</v>
      </c>
    </row>
    <row r="28" spans="1:16" ht="15.95" customHeight="1" x14ac:dyDescent="0.3">
      <c r="A28" s="148">
        <v>2023</v>
      </c>
      <c r="B28" s="17">
        <v>63090</v>
      </c>
      <c r="C28" s="17">
        <v>8844</v>
      </c>
      <c r="D28" s="17">
        <v>7824</v>
      </c>
      <c r="E28" s="17">
        <v>5167</v>
      </c>
      <c r="F28" s="17">
        <v>3349</v>
      </c>
      <c r="G28" s="17">
        <v>2968</v>
      </c>
      <c r="H28" s="17">
        <v>528</v>
      </c>
      <c r="I28" s="17">
        <v>4191</v>
      </c>
      <c r="J28" s="17">
        <v>2047</v>
      </c>
      <c r="K28" s="17">
        <v>2098</v>
      </c>
      <c r="L28" s="17">
        <v>5110</v>
      </c>
      <c r="M28" s="17">
        <v>4469</v>
      </c>
      <c r="N28" s="17">
        <v>6084</v>
      </c>
      <c r="O28" s="17">
        <v>8561</v>
      </c>
      <c r="P28" s="17">
        <v>1850</v>
      </c>
    </row>
    <row r="29" spans="1:16" ht="15.95" customHeight="1" x14ac:dyDescent="0.3">
      <c r="A29" s="148">
        <v>2024</v>
      </c>
      <c r="B29" s="17">
        <v>61490</v>
      </c>
      <c r="C29" s="17">
        <v>8177</v>
      </c>
      <c r="D29" s="17">
        <v>7167</v>
      </c>
      <c r="E29" s="17">
        <v>5127</v>
      </c>
      <c r="F29" s="17">
        <v>3606</v>
      </c>
      <c r="G29" s="17">
        <v>2353</v>
      </c>
      <c r="H29" s="17">
        <v>559</v>
      </c>
      <c r="I29" s="17">
        <v>4508</v>
      </c>
      <c r="J29" s="17">
        <v>2757</v>
      </c>
      <c r="K29" s="17">
        <v>1892</v>
      </c>
      <c r="L29" s="17">
        <v>5598</v>
      </c>
      <c r="M29" s="17">
        <v>4205</v>
      </c>
      <c r="N29" s="17">
        <v>6047</v>
      </c>
      <c r="O29" s="17">
        <v>7481</v>
      </c>
      <c r="P29" s="17">
        <v>2013</v>
      </c>
    </row>
    <row r="30" spans="1:16" ht="12.75" customHeight="1" x14ac:dyDescent="0.3">
      <c r="A30" s="148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ht="14.1" customHeight="1" x14ac:dyDescent="0.3">
      <c r="A31" s="176"/>
      <c r="B31" s="300" t="s">
        <v>296</v>
      </c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</row>
    <row r="32" spans="1:16" ht="9.9499999999999993" customHeight="1" x14ac:dyDescent="0.3">
      <c r="A32" s="148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ht="15.95" customHeight="1" x14ac:dyDescent="0.3">
      <c r="A33" s="148">
        <v>2004</v>
      </c>
      <c r="B33" s="17">
        <v>7753</v>
      </c>
      <c r="C33" s="17">
        <v>2432</v>
      </c>
      <c r="D33" s="17">
        <v>1776</v>
      </c>
      <c r="E33" s="17">
        <v>1613</v>
      </c>
      <c r="F33" s="17">
        <v>644</v>
      </c>
      <c r="G33" s="17">
        <v>686</v>
      </c>
      <c r="H33" s="119" t="s">
        <v>4</v>
      </c>
      <c r="I33" s="17">
        <v>-914</v>
      </c>
      <c r="J33" s="17">
        <v>-713</v>
      </c>
      <c r="K33" s="17">
        <v>-5238</v>
      </c>
      <c r="L33" s="17">
        <v>3701</v>
      </c>
      <c r="M33" s="17">
        <v>1427</v>
      </c>
      <c r="N33" s="17">
        <v>1283</v>
      </c>
      <c r="O33" s="17">
        <v>1229</v>
      </c>
      <c r="P33" s="17">
        <v>-173</v>
      </c>
    </row>
    <row r="34" spans="1:16" ht="15.95" customHeight="1" x14ac:dyDescent="0.3">
      <c r="A34" s="148">
        <v>2005</v>
      </c>
      <c r="B34" s="17">
        <v>4410</v>
      </c>
      <c r="C34" s="17">
        <v>2335</v>
      </c>
      <c r="D34" s="17">
        <v>1899</v>
      </c>
      <c r="E34" s="17">
        <v>1445</v>
      </c>
      <c r="F34" s="17">
        <v>789</v>
      </c>
      <c r="G34" s="17">
        <v>562</v>
      </c>
      <c r="H34" s="119" t="s">
        <v>4</v>
      </c>
      <c r="I34" s="17">
        <v>-684</v>
      </c>
      <c r="J34" s="17">
        <v>-1015</v>
      </c>
      <c r="K34" s="17">
        <v>-3884</v>
      </c>
      <c r="L34" s="17">
        <v>1265</v>
      </c>
      <c r="M34" s="17">
        <v>407</v>
      </c>
      <c r="N34" s="17">
        <v>785</v>
      </c>
      <c r="O34" s="17">
        <v>634</v>
      </c>
      <c r="P34" s="17">
        <v>-128</v>
      </c>
    </row>
    <row r="35" spans="1:16" ht="15.95" customHeight="1" x14ac:dyDescent="0.3">
      <c r="A35" s="148">
        <v>2006</v>
      </c>
      <c r="B35" s="17">
        <v>2508</v>
      </c>
      <c r="C35" s="17">
        <v>2412</v>
      </c>
      <c r="D35" s="17">
        <v>1597</v>
      </c>
      <c r="E35" s="17">
        <v>1374</v>
      </c>
      <c r="F35" s="17">
        <v>795</v>
      </c>
      <c r="G35" s="17">
        <v>637</v>
      </c>
      <c r="H35" s="119" t="s">
        <v>4</v>
      </c>
      <c r="I35" s="17">
        <v>-1187</v>
      </c>
      <c r="J35" s="17">
        <v>-2247</v>
      </c>
      <c r="K35" s="17">
        <v>-4462</v>
      </c>
      <c r="L35" s="17">
        <v>1088</v>
      </c>
      <c r="M35" s="17">
        <v>797</v>
      </c>
      <c r="N35" s="17">
        <v>1030</v>
      </c>
      <c r="O35" s="17">
        <v>778</v>
      </c>
      <c r="P35" s="17">
        <v>-104</v>
      </c>
    </row>
    <row r="36" spans="1:16" ht="15.95" customHeight="1" x14ac:dyDescent="0.3">
      <c r="A36" s="148">
        <v>2007</v>
      </c>
      <c r="B36" s="17">
        <v>-2491</v>
      </c>
      <c r="C36" s="17">
        <v>2702</v>
      </c>
      <c r="D36" s="17">
        <v>1523</v>
      </c>
      <c r="E36" s="17">
        <v>1472</v>
      </c>
      <c r="F36" s="17">
        <v>599</v>
      </c>
      <c r="G36" s="17">
        <v>322</v>
      </c>
      <c r="H36" s="119" t="s">
        <v>4</v>
      </c>
      <c r="I36" s="17">
        <v>-1963</v>
      </c>
      <c r="J36" s="17">
        <v>-2591</v>
      </c>
      <c r="K36" s="17">
        <v>-6000</v>
      </c>
      <c r="L36" s="17">
        <v>392</v>
      </c>
      <c r="M36" s="17">
        <v>383</v>
      </c>
      <c r="N36" s="17">
        <v>451</v>
      </c>
      <c r="O36" s="17">
        <v>263</v>
      </c>
      <c r="P36" s="17">
        <v>-44</v>
      </c>
    </row>
    <row r="37" spans="1:16" ht="15.95" customHeight="1" x14ac:dyDescent="0.3">
      <c r="A37" s="148">
        <v>2008</v>
      </c>
      <c r="B37" s="17">
        <v>-10285</v>
      </c>
      <c r="C37" s="17">
        <v>1861</v>
      </c>
      <c r="D37" s="17">
        <v>1081</v>
      </c>
      <c r="E37" s="17">
        <v>845</v>
      </c>
      <c r="F37" s="17">
        <v>685</v>
      </c>
      <c r="G37" s="17">
        <v>-4</v>
      </c>
      <c r="H37" s="119" t="s">
        <v>4</v>
      </c>
      <c r="I37" s="17">
        <v>-3588</v>
      </c>
      <c r="J37" s="17">
        <v>-3031</v>
      </c>
      <c r="K37" s="17">
        <v>-6145</v>
      </c>
      <c r="L37" s="17">
        <v>-405</v>
      </c>
      <c r="M37" s="17">
        <v>-900</v>
      </c>
      <c r="N37" s="17">
        <v>-560</v>
      </c>
      <c r="O37" s="17">
        <v>-86</v>
      </c>
      <c r="P37" s="17">
        <v>-38</v>
      </c>
    </row>
    <row r="38" spans="1:16" ht="15.95" customHeight="1" x14ac:dyDescent="0.3">
      <c r="A38" s="148">
        <v>2009</v>
      </c>
      <c r="B38" s="17">
        <v>-8974</v>
      </c>
      <c r="C38" s="17">
        <v>1703</v>
      </c>
      <c r="D38" s="17">
        <v>1358</v>
      </c>
      <c r="E38" s="17">
        <v>393</v>
      </c>
      <c r="F38" s="17">
        <v>1032</v>
      </c>
      <c r="G38" s="17">
        <v>144</v>
      </c>
      <c r="H38" s="119" t="s">
        <v>4</v>
      </c>
      <c r="I38" s="17">
        <v>-3318</v>
      </c>
      <c r="J38" s="17">
        <v>-2460</v>
      </c>
      <c r="K38" s="17">
        <v>-3650</v>
      </c>
      <c r="L38" s="17">
        <v>-1047</v>
      </c>
      <c r="M38" s="17">
        <v>-1740</v>
      </c>
      <c r="N38" s="17">
        <v>-1052</v>
      </c>
      <c r="O38" s="17">
        <v>-138</v>
      </c>
      <c r="P38" s="17">
        <v>-199</v>
      </c>
    </row>
    <row r="39" spans="1:16" ht="14.1" customHeight="1" x14ac:dyDescent="0.3">
      <c r="A39" s="148"/>
      <c r="B39" s="17"/>
      <c r="C39" s="17"/>
      <c r="D39" s="17"/>
      <c r="E39" s="17"/>
      <c r="F39" s="17"/>
      <c r="G39" s="17"/>
      <c r="H39" s="119"/>
      <c r="I39" s="17"/>
      <c r="J39" s="17"/>
      <c r="K39" s="17"/>
      <c r="L39" s="17"/>
      <c r="M39" s="17"/>
      <c r="N39" s="17"/>
      <c r="O39" s="17"/>
      <c r="P39" s="17"/>
    </row>
    <row r="40" spans="1:16" ht="15.95" customHeight="1" x14ac:dyDescent="0.3">
      <c r="A40" s="148">
        <v>2010</v>
      </c>
      <c r="B40" s="17">
        <v>-16259</v>
      </c>
      <c r="C40" s="17">
        <v>969</v>
      </c>
      <c r="D40" s="17">
        <v>570</v>
      </c>
      <c r="E40" s="17">
        <v>-233</v>
      </c>
      <c r="F40" s="17">
        <v>706</v>
      </c>
      <c r="G40" s="17">
        <v>224</v>
      </c>
      <c r="H40" s="119" t="s">
        <v>4</v>
      </c>
      <c r="I40" s="17">
        <v>-3558</v>
      </c>
      <c r="J40" s="17">
        <v>-3191</v>
      </c>
      <c r="K40" s="17">
        <v>-5174</v>
      </c>
      <c r="L40" s="17">
        <v>-2024</v>
      </c>
      <c r="M40" s="17">
        <v>-1964</v>
      </c>
      <c r="N40" s="17">
        <v>-1324</v>
      </c>
      <c r="O40" s="17">
        <v>-600</v>
      </c>
      <c r="P40" s="17">
        <v>-660</v>
      </c>
    </row>
    <row r="41" spans="1:16" ht="15.95" customHeight="1" x14ac:dyDescent="0.3">
      <c r="A41" s="148">
        <v>2011</v>
      </c>
      <c r="B41" s="17">
        <v>-28237</v>
      </c>
      <c r="C41" s="17">
        <v>-76</v>
      </c>
      <c r="D41" s="17">
        <v>305</v>
      </c>
      <c r="E41" s="17">
        <v>-528</v>
      </c>
      <c r="F41" s="17">
        <v>-344</v>
      </c>
      <c r="G41" s="17">
        <v>-7</v>
      </c>
      <c r="H41" s="119" t="s">
        <v>4</v>
      </c>
      <c r="I41" s="17">
        <v>-4883</v>
      </c>
      <c r="J41" s="17">
        <v>-4543</v>
      </c>
      <c r="K41" s="17">
        <v>-6868</v>
      </c>
      <c r="L41" s="17">
        <v>-2978</v>
      </c>
      <c r="M41" s="17">
        <v>-3020</v>
      </c>
      <c r="N41" s="17">
        <v>-2322</v>
      </c>
      <c r="O41" s="17">
        <v>-1714</v>
      </c>
      <c r="P41" s="17">
        <v>-1259</v>
      </c>
    </row>
    <row r="42" spans="1:16" ht="15.95" customHeight="1" x14ac:dyDescent="0.3">
      <c r="A42" s="148">
        <v>2012</v>
      </c>
      <c r="B42" s="17">
        <v>-27245</v>
      </c>
      <c r="C42" s="17">
        <v>328</v>
      </c>
      <c r="D42" s="17">
        <v>207</v>
      </c>
      <c r="E42" s="17">
        <v>-578</v>
      </c>
      <c r="F42" s="17">
        <v>-962</v>
      </c>
      <c r="G42" s="17">
        <v>-40</v>
      </c>
      <c r="H42" s="17">
        <v>-2011</v>
      </c>
      <c r="I42" s="17">
        <v>-4080</v>
      </c>
      <c r="J42" s="17">
        <v>-4199</v>
      </c>
      <c r="K42" s="17">
        <v>-5779</v>
      </c>
      <c r="L42" s="17">
        <v>-2455</v>
      </c>
      <c r="M42" s="17">
        <v>-2805</v>
      </c>
      <c r="N42" s="17">
        <v>-2402</v>
      </c>
      <c r="O42" s="17">
        <v>-698</v>
      </c>
      <c r="P42" s="17">
        <v>-1771</v>
      </c>
    </row>
    <row r="43" spans="1:16" ht="15.95" customHeight="1" x14ac:dyDescent="0.3">
      <c r="A43" s="148">
        <v>2013</v>
      </c>
      <c r="B43" s="17">
        <v>-29325</v>
      </c>
      <c r="C43" s="17">
        <v>-180</v>
      </c>
      <c r="D43" s="17">
        <v>138</v>
      </c>
      <c r="E43" s="17">
        <v>-137</v>
      </c>
      <c r="F43" s="17">
        <v>-486</v>
      </c>
      <c r="G43" s="17">
        <v>-380</v>
      </c>
      <c r="H43" s="17">
        <v>-1565</v>
      </c>
      <c r="I43" s="17">
        <v>-4323</v>
      </c>
      <c r="J43" s="17">
        <v>-3761</v>
      </c>
      <c r="K43" s="17">
        <v>-5672</v>
      </c>
      <c r="L43" s="17">
        <v>-2871</v>
      </c>
      <c r="M43" s="17">
        <v>-3549</v>
      </c>
      <c r="N43" s="17">
        <v>-2593</v>
      </c>
      <c r="O43" s="17">
        <v>-1481</v>
      </c>
      <c r="P43" s="17">
        <v>-2465</v>
      </c>
    </row>
    <row r="44" spans="1:16" ht="15.95" customHeight="1" x14ac:dyDescent="0.3">
      <c r="A44" s="148">
        <v>2014</v>
      </c>
      <c r="B44" s="17">
        <v>-35516</v>
      </c>
      <c r="C44" s="17">
        <v>-853</v>
      </c>
      <c r="D44" s="17">
        <v>-48</v>
      </c>
      <c r="E44" s="17">
        <v>-465</v>
      </c>
      <c r="F44" s="17">
        <v>-669</v>
      </c>
      <c r="G44" s="17">
        <v>-761</v>
      </c>
      <c r="H44" s="17">
        <v>-3492</v>
      </c>
      <c r="I44" s="17">
        <v>-4274</v>
      </c>
      <c r="J44" s="17">
        <v>-4270</v>
      </c>
      <c r="K44" s="17">
        <v>-6145</v>
      </c>
      <c r="L44" s="17">
        <v>-3294</v>
      </c>
      <c r="M44" s="17">
        <v>-3572</v>
      </c>
      <c r="N44" s="17">
        <v>-2756</v>
      </c>
      <c r="O44" s="17">
        <v>-1744</v>
      </c>
      <c r="P44" s="17">
        <v>-3173</v>
      </c>
    </row>
    <row r="45" spans="1:16" ht="15.95" customHeight="1" x14ac:dyDescent="0.3">
      <c r="A45" s="148">
        <v>2015</v>
      </c>
      <c r="B45" s="17">
        <v>-39216</v>
      </c>
      <c r="C45" s="17">
        <v>-479</v>
      </c>
      <c r="D45" s="17">
        <v>-60</v>
      </c>
      <c r="E45" s="17">
        <v>-244</v>
      </c>
      <c r="F45" s="17">
        <v>-868</v>
      </c>
      <c r="G45" s="17">
        <v>-362</v>
      </c>
      <c r="H45" s="17">
        <v>-4144</v>
      </c>
      <c r="I45" s="17">
        <v>-5164</v>
      </c>
      <c r="J45" s="17">
        <v>-4574</v>
      </c>
      <c r="K45" s="17">
        <v>-6615</v>
      </c>
      <c r="L45" s="17">
        <v>-3274</v>
      </c>
      <c r="M45" s="17">
        <v>-3934</v>
      </c>
      <c r="N45" s="17">
        <v>-2914</v>
      </c>
      <c r="O45" s="17">
        <v>-1988</v>
      </c>
      <c r="P45" s="17">
        <v>-4596</v>
      </c>
    </row>
    <row r="46" spans="1:16" ht="15.95" customHeight="1" x14ac:dyDescent="0.3">
      <c r="A46" s="148">
        <v>2016</v>
      </c>
      <c r="B46" s="17">
        <v>-33019</v>
      </c>
      <c r="C46" s="17">
        <v>272</v>
      </c>
      <c r="D46" s="17">
        <v>155</v>
      </c>
      <c r="E46" s="17">
        <v>-54</v>
      </c>
      <c r="F46" s="17">
        <v>-393</v>
      </c>
      <c r="G46" s="17">
        <v>309</v>
      </c>
      <c r="H46" s="17">
        <v>-2337</v>
      </c>
      <c r="I46" s="17">
        <v>-5220</v>
      </c>
      <c r="J46" s="17">
        <v>-4801</v>
      </c>
      <c r="K46" s="17">
        <v>-7427</v>
      </c>
      <c r="L46" s="17">
        <v>-2547</v>
      </c>
      <c r="M46" s="17">
        <v>-2736</v>
      </c>
      <c r="N46" s="17">
        <v>-2652</v>
      </c>
      <c r="O46" s="17">
        <v>-1200</v>
      </c>
      <c r="P46" s="17">
        <v>-4388</v>
      </c>
    </row>
    <row r="47" spans="1:16" ht="15.95" customHeight="1" x14ac:dyDescent="0.3">
      <c r="A47" s="148">
        <v>2017</v>
      </c>
      <c r="B47" s="17">
        <v>-28686</v>
      </c>
      <c r="C47" s="17">
        <v>316</v>
      </c>
      <c r="D47" s="17">
        <v>585</v>
      </c>
      <c r="E47" s="17">
        <v>46</v>
      </c>
      <c r="F47" s="17">
        <v>-240</v>
      </c>
      <c r="G47" s="17">
        <v>588</v>
      </c>
      <c r="H47" s="17">
        <v>-2084</v>
      </c>
      <c r="I47" s="17">
        <v>-5014</v>
      </c>
      <c r="J47" s="17">
        <v>-4237</v>
      </c>
      <c r="K47" s="17">
        <v>-8112</v>
      </c>
      <c r="L47" s="17">
        <v>-2009</v>
      </c>
      <c r="M47" s="17">
        <v>-2599</v>
      </c>
      <c r="N47" s="17">
        <v>-1520</v>
      </c>
      <c r="O47" s="17">
        <v>-480</v>
      </c>
      <c r="P47" s="17">
        <v>-3926</v>
      </c>
    </row>
    <row r="48" spans="1:16" ht="15.95" customHeight="1" x14ac:dyDescent="0.3">
      <c r="A48" s="148">
        <v>2018</v>
      </c>
      <c r="B48" s="17">
        <v>-16750</v>
      </c>
      <c r="C48" s="17">
        <v>1334</v>
      </c>
      <c r="D48" s="17">
        <v>1064</v>
      </c>
      <c r="E48" s="17">
        <v>643</v>
      </c>
      <c r="F48" s="17">
        <v>110</v>
      </c>
      <c r="G48" s="17">
        <v>586</v>
      </c>
      <c r="H48" s="17">
        <v>-1802</v>
      </c>
      <c r="I48" s="17">
        <v>-3489</v>
      </c>
      <c r="J48" s="17">
        <v>-3842</v>
      </c>
      <c r="K48" s="17">
        <v>-6033</v>
      </c>
      <c r="L48" s="17">
        <v>-708</v>
      </c>
      <c r="M48" s="17">
        <v>-1812</v>
      </c>
      <c r="N48" s="17">
        <v>-575</v>
      </c>
      <c r="O48" s="17">
        <v>307</v>
      </c>
      <c r="P48" s="17">
        <v>-2533</v>
      </c>
    </row>
    <row r="49" spans="1:16" ht="15.95" customHeight="1" x14ac:dyDescent="0.3">
      <c r="A49" s="148">
        <v>2019</v>
      </c>
      <c r="B49" s="17">
        <v>-10750</v>
      </c>
      <c r="C49" s="17">
        <v>1318</v>
      </c>
      <c r="D49" s="17">
        <v>1459</v>
      </c>
      <c r="E49" s="17">
        <v>614</v>
      </c>
      <c r="F49" s="17">
        <v>804</v>
      </c>
      <c r="G49" s="17">
        <v>827</v>
      </c>
      <c r="H49" s="17">
        <v>-1357</v>
      </c>
      <c r="I49" s="17">
        <v>-4215</v>
      </c>
      <c r="J49" s="17">
        <v>-2715</v>
      </c>
      <c r="K49" s="17">
        <v>-3017</v>
      </c>
      <c r="L49" s="17">
        <v>-620</v>
      </c>
      <c r="M49" s="17">
        <v>-1964</v>
      </c>
      <c r="N49" s="17">
        <v>-691</v>
      </c>
      <c r="O49" s="17">
        <v>201</v>
      </c>
      <c r="P49" s="17">
        <v>-1394</v>
      </c>
    </row>
    <row r="50" spans="1:16" ht="14.1" customHeight="1" x14ac:dyDescent="0.3">
      <c r="A50" s="148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ht="15.95" customHeight="1" x14ac:dyDescent="0.3">
      <c r="A51" s="148">
        <v>2020</v>
      </c>
      <c r="B51" s="17">
        <v>-11624</v>
      </c>
      <c r="C51" s="17">
        <v>1472</v>
      </c>
      <c r="D51" s="17">
        <v>1542</v>
      </c>
      <c r="E51" s="17">
        <v>609</v>
      </c>
      <c r="F51" s="17">
        <v>893</v>
      </c>
      <c r="G51" s="17">
        <v>829</v>
      </c>
      <c r="H51" s="17">
        <v>-558</v>
      </c>
      <c r="I51" s="17">
        <v>-5591</v>
      </c>
      <c r="J51" s="17">
        <v>-3313</v>
      </c>
      <c r="K51" s="17">
        <v>-4062</v>
      </c>
      <c r="L51" s="17">
        <v>-1042</v>
      </c>
      <c r="M51" s="17">
        <v>-1750</v>
      </c>
      <c r="N51" s="17">
        <v>402</v>
      </c>
      <c r="O51" s="17">
        <v>324</v>
      </c>
      <c r="P51" s="17">
        <v>-1379</v>
      </c>
    </row>
    <row r="52" spans="1:16" ht="15.95" customHeight="1" x14ac:dyDescent="0.3">
      <c r="A52" s="148">
        <v>2021</v>
      </c>
      <c r="B52" s="17">
        <v>-20467</v>
      </c>
      <c r="C52" s="17">
        <v>960</v>
      </c>
      <c r="D52" s="17">
        <v>1095</v>
      </c>
      <c r="E52" s="17">
        <v>475</v>
      </c>
      <c r="F52" s="17">
        <v>655</v>
      </c>
      <c r="G52" s="17">
        <v>883</v>
      </c>
      <c r="H52" s="17">
        <v>-942</v>
      </c>
      <c r="I52" s="17">
        <v>-6705</v>
      </c>
      <c r="J52" s="17">
        <v>-3516</v>
      </c>
      <c r="K52" s="17">
        <v>-5777</v>
      </c>
      <c r="L52" s="17">
        <v>-1804</v>
      </c>
      <c r="M52" s="17">
        <v>-2734</v>
      </c>
      <c r="N52" s="17">
        <v>-1082</v>
      </c>
      <c r="O52" s="17">
        <v>165</v>
      </c>
      <c r="P52" s="17">
        <v>-2140</v>
      </c>
    </row>
    <row r="53" spans="1:16" ht="15.95" customHeight="1" x14ac:dyDescent="0.3">
      <c r="A53" s="148">
        <v>2022</v>
      </c>
      <c r="B53" s="17">
        <v>-27113</v>
      </c>
      <c r="C53" s="17">
        <v>819</v>
      </c>
      <c r="D53" s="17">
        <v>559</v>
      </c>
      <c r="E53" s="17">
        <v>-32</v>
      </c>
      <c r="F53" s="17">
        <v>-246</v>
      </c>
      <c r="G53" s="17">
        <v>487</v>
      </c>
      <c r="H53" s="17">
        <v>-898</v>
      </c>
      <c r="I53" s="17">
        <v>-6125</v>
      </c>
      <c r="J53" s="17">
        <v>-4216</v>
      </c>
      <c r="K53" s="17">
        <v>-7407</v>
      </c>
      <c r="L53" s="17">
        <v>-2522</v>
      </c>
      <c r="M53" s="17">
        <v>-3115</v>
      </c>
      <c r="N53" s="17">
        <v>-1542</v>
      </c>
      <c r="O53" s="17">
        <v>-547</v>
      </c>
      <c r="P53" s="17">
        <v>-2328</v>
      </c>
    </row>
    <row r="54" spans="1:16" s="59" customFormat="1" ht="15.95" customHeight="1" x14ac:dyDescent="0.3">
      <c r="A54" s="148">
        <v>2023</v>
      </c>
      <c r="B54" s="17">
        <v>-19004</v>
      </c>
      <c r="C54" s="17">
        <v>641</v>
      </c>
      <c r="D54" s="17">
        <v>19</v>
      </c>
      <c r="E54" s="17">
        <v>-73</v>
      </c>
      <c r="F54" s="17">
        <v>-20</v>
      </c>
      <c r="G54" s="17">
        <v>262</v>
      </c>
      <c r="H54" s="17">
        <v>55</v>
      </c>
      <c r="I54" s="17">
        <v>-3358</v>
      </c>
      <c r="J54" s="17">
        <v>-2740</v>
      </c>
      <c r="K54" s="17">
        <v>-6317</v>
      </c>
      <c r="L54" s="17">
        <v>-2115</v>
      </c>
      <c r="M54" s="17">
        <v>-2446</v>
      </c>
      <c r="N54" s="17">
        <v>-1474</v>
      </c>
      <c r="O54" s="17">
        <v>-425</v>
      </c>
      <c r="P54" s="17">
        <v>-1013</v>
      </c>
    </row>
    <row r="55" spans="1:16" s="59" customFormat="1" ht="15.95" customHeight="1" x14ac:dyDescent="0.3">
      <c r="A55" s="148">
        <v>2024</v>
      </c>
      <c r="B55" s="17">
        <v>-17983</v>
      </c>
      <c r="C55" s="17">
        <v>660</v>
      </c>
      <c r="D55" s="17">
        <v>41</v>
      </c>
      <c r="E55" s="17">
        <v>36</v>
      </c>
      <c r="F55" s="17">
        <v>102</v>
      </c>
      <c r="G55" s="17">
        <v>208</v>
      </c>
      <c r="H55" s="17">
        <v>-153</v>
      </c>
      <c r="I55" s="17">
        <v>-3081</v>
      </c>
      <c r="J55" s="17">
        <v>-3039</v>
      </c>
      <c r="K55" s="17">
        <v>-6509</v>
      </c>
      <c r="L55" s="17">
        <v>-1814</v>
      </c>
      <c r="M55" s="17">
        <v>-2117</v>
      </c>
      <c r="N55" s="17">
        <v>-1518</v>
      </c>
      <c r="O55" s="17">
        <v>-386</v>
      </c>
      <c r="P55" s="17">
        <v>-413</v>
      </c>
    </row>
    <row r="56" spans="1:16" s="59" customFormat="1" ht="6.95" customHeight="1" thickBot="1" x14ac:dyDescent="0.35">
      <c r="A56" s="175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</row>
    <row r="67" spans="5:5" ht="14.25" customHeight="1" x14ac:dyDescent="0.3">
      <c r="E67" s="2" t="s">
        <v>221</v>
      </c>
    </row>
  </sheetData>
  <mergeCells count="3">
    <mergeCell ref="B5:P5"/>
    <mergeCell ref="B31:P31"/>
    <mergeCell ref="A1:P1"/>
  </mergeCells>
  <phoneticPr fontId="1" type="noConversion"/>
  <conditionalFormatting sqref="B7:P29 B33:P55">
    <cfRule type="cellIs" dxfId="4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77"/>
  <sheetViews>
    <sheetView showGridLines="0" view="pageBreakPreview" zoomScale="115" zoomScaleNormal="70" zoomScaleSheetLayoutView="115" workbookViewId="0">
      <selection sqref="A1:K1"/>
    </sheetView>
  </sheetViews>
  <sheetFormatPr defaultRowHeight="16.5" customHeight="1" x14ac:dyDescent="0.3"/>
  <cols>
    <col min="1" max="1" width="7.375" style="1" customWidth="1"/>
    <col min="2" max="5" width="8.375" style="9" customWidth="1"/>
    <col min="6" max="11" width="8.375" style="109" customWidth="1"/>
    <col min="12" max="16384" width="9" style="9"/>
  </cols>
  <sheetData>
    <row r="1" spans="1:12" s="3" customFormat="1" ht="25.5" customHeight="1" x14ac:dyDescent="0.3">
      <c r="A1" s="272" t="s">
        <v>277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13"/>
    </row>
    <row r="2" spans="1:12" s="4" customFormat="1" ht="12.75" customHeight="1" thickBot="1" x14ac:dyDescent="0.35">
      <c r="B2" s="5"/>
      <c r="C2" s="6"/>
      <c r="F2" s="108"/>
      <c r="G2" s="108"/>
      <c r="H2" s="108"/>
      <c r="I2" s="108"/>
      <c r="J2" s="110"/>
      <c r="K2" s="110" t="s">
        <v>23</v>
      </c>
      <c r="L2" s="14"/>
    </row>
    <row r="3" spans="1:12" ht="12.75" customHeight="1" x14ac:dyDescent="0.3">
      <c r="A3" s="307" t="s">
        <v>222</v>
      </c>
      <c r="B3" s="305" t="s">
        <v>10</v>
      </c>
      <c r="C3" s="139"/>
      <c r="D3" s="139"/>
      <c r="E3" s="139"/>
      <c r="F3" s="302" t="s">
        <v>5</v>
      </c>
      <c r="G3" s="303"/>
      <c r="H3" s="304"/>
      <c r="I3" s="302" t="s">
        <v>6</v>
      </c>
      <c r="J3" s="303"/>
      <c r="K3" s="303"/>
      <c r="L3" s="8"/>
    </row>
    <row r="4" spans="1:12" s="1" customFormat="1" ht="12.75" customHeight="1" x14ac:dyDescent="0.3">
      <c r="A4" s="308"/>
      <c r="B4" s="306"/>
      <c r="C4" s="140" t="s">
        <v>7</v>
      </c>
      <c r="D4" s="140" t="s">
        <v>8</v>
      </c>
      <c r="E4" s="141" t="s">
        <v>9</v>
      </c>
      <c r="F4" s="142" t="s">
        <v>7</v>
      </c>
      <c r="G4" s="142" t="s">
        <v>8</v>
      </c>
      <c r="H4" s="142" t="s">
        <v>9</v>
      </c>
      <c r="I4" s="143" t="s">
        <v>7</v>
      </c>
      <c r="J4" s="142" t="s">
        <v>8</v>
      </c>
      <c r="K4" s="144" t="s">
        <v>9</v>
      </c>
      <c r="L4" s="12"/>
    </row>
    <row r="5" spans="1:12" s="1" customFormat="1" ht="6.75" customHeight="1" x14ac:dyDescent="0.3">
      <c r="A5" s="117"/>
      <c r="B5" s="145"/>
      <c r="C5" s="16"/>
      <c r="D5" s="16"/>
      <c r="E5" s="16"/>
      <c r="F5" s="238"/>
      <c r="G5" s="146"/>
      <c r="H5" s="146"/>
      <c r="I5" s="238"/>
      <c r="J5" s="146"/>
      <c r="K5" s="146"/>
      <c r="L5" s="12"/>
    </row>
    <row r="6" spans="1:12" ht="12.75" customHeight="1" x14ac:dyDescent="0.3">
      <c r="A6" s="148">
        <v>1970</v>
      </c>
      <c r="B6" s="149">
        <v>392353</v>
      </c>
      <c r="C6" s="149">
        <v>293828</v>
      </c>
      <c r="D6" s="17" t="s">
        <v>4</v>
      </c>
      <c r="E6" s="150">
        <v>98525</v>
      </c>
      <c r="F6" s="152">
        <v>-34761</v>
      </c>
      <c r="G6" s="151" t="s">
        <v>4</v>
      </c>
      <c r="H6" s="153">
        <v>34761</v>
      </c>
      <c r="I6" s="152">
        <v>328589</v>
      </c>
      <c r="J6" s="151" t="s">
        <v>4</v>
      </c>
      <c r="K6" s="152">
        <v>63764</v>
      </c>
      <c r="L6" s="8"/>
    </row>
    <row r="7" spans="1:12" ht="12.75" customHeight="1" x14ac:dyDescent="0.3">
      <c r="A7" s="148">
        <v>1971</v>
      </c>
      <c r="B7" s="149">
        <v>373966</v>
      </c>
      <c r="C7" s="149">
        <v>252689</v>
      </c>
      <c r="D7" s="17" t="s">
        <v>4</v>
      </c>
      <c r="E7" s="150">
        <v>121277</v>
      </c>
      <c r="F7" s="152">
        <v>-54890</v>
      </c>
      <c r="G7" s="151" t="s">
        <v>4</v>
      </c>
      <c r="H7" s="153">
        <v>54890</v>
      </c>
      <c r="I7" s="152">
        <v>307579</v>
      </c>
      <c r="J7" s="151" t="s">
        <v>4</v>
      </c>
      <c r="K7" s="152">
        <v>66387</v>
      </c>
      <c r="L7" s="8"/>
    </row>
    <row r="8" spans="1:12" ht="12.75" customHeight="1" x14ac:dyDescent="0.3">
      <c r="A8" s="148">
        <v>1972</v>
      </c>
      <c r="B8" s="149">
        <v>173874</v>
      </c>
      <c r="C8" s="149">
        <v>138774</v>
      </c>
      <c r="D8" s="17" t="s">
        <v>4</v>
      </c>
      <c r="E8" s="150">
        <v>35100</v>
      </c>
      <c r="F8" s="152">
        <v>-2863</v>
      </c>
      <c r="G8" s="151" t="s">
        <v>4</v>
      </c>
      <c r="H8" s="153">
        <v>2863</v>
      </c>
      <c r="I8" s="152">
        <v>141637</v>
      </c>
      <c r="J8" s="151" t="s">
        <v>4</v>
      </c>
      <c r="K8" s="152">
        <v>32237</v>
      </c>
      <c r="L8" s="8"/>
    </row>
    <row r="9" spans="1:12" ht="12.75" customHeight="1" x14ac:dyDescent="0.3">
      <c r="A9" s="148">
        <v>1973</v>
      </c>
      <c r="B9" s="149">
        <v>272388</v>
      </c>
      <c r="C9" s="149">
        <v>184590</v>
      </c>
      <c r="D9" s="17" t="s">
        <v>4</v>
      </c>
      <c r="E9" s="150">
        <v>87798</v>
      </c>
      <c r="F9" s="152">
        <v>-36057</v>
      </c>
      <c r="G9" s="151" t="s">
        <v>4</v>
      </c>
      <c r="H9" s="153">
        <v>36057</v>
      </c>
      <c r="I9" s="152">
        <v>220647</v>
      </c>
      <c r="J9" s="151" t="s">
        <v>4</v>
      </c>
      <c r="K9" s="152">
        <v>51741</v>
      </c>
    </row>
    <row r="10" spans="1:12" ht="12.75" customHeight="1" x14ac:dyDescent="0.3">
      <c r="A10" s="148">
        <v>1974</v>
      </c>
      <c r="B10" s="149">
        <v>325329</v>
      </c>
      <c r="C10" s="149">
        <v>230732</v>
      </c>
      <c r="D10" s="17" t="s">
        <v>4</v>
      </c>
      <c r="E10" s="150">
        <v>94597</v>
      </c>
      <c r="F10" s="152">
        <v>-41527</v>
      </c>
      <c r="G10" s="151" t="s">
        <v>4</v>
      </c>
      <c r="H10" s="153">
        <v>41527</v>
      </c>
      <c r="I10" s="152">
        <v>272259</v>
      </c>
      <c r="J10" s="151" t="s">
        <v>4</v>
      </c>
      <c r="K10" s="152">
        <v>53070</v>
      </c>
    </row>
    <row r="11" spans="1:12" ht="12.75" customHeight="1" x14ac:dyDescent="0.3">
      <c r="A11" s="148">
        <v>1975</v>
      </c>
      <c r="B11" s="149">
        <v>641129</v>
      </c>
      <c r="C11" s="149">
        <v>459569</v>
      </c>
      <c r="D11" s="17" t="s">
        <v>4</v>
      </c>
      <c r="E11" s="150">
        <v>181560</v>
      </c>
      <c r="F11" s="152">
        <v>-46064</v>
      </c>
      <c r="G11" s="151" t="s">
        <v>4</v>
      </c>
      <c r="H11" s="153">
        <v>46064</v>
      </c>
      <c r="I11" s="152">
        <v>505633</v>
      </c>
      <c r="J11" s="151" t="s">
        <v>4</v>
      </c>
      <c r="K11" s="152">
        <v>135496</v>
      </c>
    </row>
    <row r="12" spans="1:12" ht="12.75" customHeight="1" x14ac:dyDescent="0.3">
      <c r="A12" s="148">
        <v>1976</v>
      </c>
      <c r="B12" s="149">
        <v>384984</v>
      </c>
      <c r="C12" s="149">
        <v>260890</v>
      </c>
      <c r="D12" s="17" t="s">
        <v>4</v>
      </c>
      <c r="E12" s="150">
        <v>124094</v>
      </c>
      <c r="F12" s="152">
        <v>-57752</v>
      </c>
      <c r="G12" s="151" t="s">
        <v>4</v>
      </c>
      <c r="H12" s="153">
        <v>57752</v>
      </c>
      <c r="I12" s="152">
        <v>318642</v>
      </c>
      <c r="J12" s="151" t="s">
        <v>4</v>
      </c>
      <c r="K12" s="152">
        <v>66342</v>
      </c>
    </row>
    <row r="13" spans="1:12" ht="12.75" customHeight="1" x14ac:dyDescent="0.3">
      <c r="A13" s="148">
        <v>1977</v>
      </c>
      <c r="B13" s="149">
        <v>341851</v>
      </c>
      <c r="C13" s="149">
        <v>215396</v>
      </c>
      <c r="D13" s="17" t="s">
        <v>4</v>
      </c>
      <c r="E13" s="150">
        <v>126455</v>
      </c>
      <c r="F13" s="152">
        <v>-53701</v>
      </c>
      <c r="G13" s="151" t="s">
        <v>4</v>
      </c>
      <c r="H13" s="153">
        <v>53701</v>
      </c>
      <c r="I13" s="152">
        <v>269097</v>
      </c>
      <c r="J13" s="151" t="s">
        <v>4</v>
      </c>
      <c r="K13" s="152">
        <v>72754</v>
      </c>
    </row>
    <row r="14" spans="1:12" ht="12.75" customHeight="1" x14ac:dyDescent="0.3">
      <c r="A14" s="148">
        <v>1978</v>
      </c>
      <c r="B14" s="149">
        <v>446846</v>
      </c>
      <c r="C14" s="149">
        <v>278528</v>
      </c>
      <c r="D14" s="17" t="s">
        <v>4</v>
      </c>
      <c r="E14" s="150">
        <v>168318</v>
      </c>
      <c r="F14" s="152">
        <v>-72913</v>
      </c>
      <c r="G14" s="151" t="s">
        <v>4</v>
      </c>
      <c r="H14" s="153">
        <v>72913</v>
      </c>
      <c r="I14" s="152">
        <v>351441</v>
      </c>
      <c r="J14" s="151" t="s">
        <v>4</v>
      </c>
      <c r="K14" s="152">
        <v>95405</v>
      </c>
    </row>
    <row r="15" spans="1:12" ht="12.75" customHeight="1" x14ac:dyDescent="0.3">
      <c r="A15" s="148">
        <v>1979</v>
      </c>
      <c r="B15" s="149">
        <v>346341</v>
      </c>
      <c r="C15" s="149">
        <v>148425</v>
      </c>
      <c r="D15" s="17" t="s">
        <v>4</v>
      </c>
      <c r="E15" s="150">
        <v>197916</v>
      </c>
      <c r="F15" s="152">
        <v>-110223</v>
      </c>
      <c r="G15" s="151" t="s">
        <v>4</v>
      </c>
      <c r="H15" s="153">
        <v>110223</v>
      </c>
      <c r="I15" s="152">
        <v>258648</v>
      </c>
      <c r="J15" s="151" t="s">
        <v>4</v>
      </c>
      <c r="K15" s="152">
        <v>87693</v>
      </c>
    </row>
    <row r="16" spans="1:12" ht="6.95" customHeight="1" x14ac:dyDescent="0.3">
      <c r="A16" s="148"/>
      <c r="B16" s="149"/>
      <c r="C16" s="149"/>
      <c r="D16" s="17"/>
      <c r="E16" s="150"/>
      <c r="F16" s="152"/>
      <c r="G16" s="151"/>
      <c r="H16" s="153"/>
      <c r="I16" s="152"/>
      <c r="J16" s="151"/>
      <c r="K16" s="152"/>
    </row>
    <row r="17" spans="1:11" ht="12.75" customHeight="1" x14ac:dyDescent="0.3">
      <c r="A17" s="148">
        <v>1980</v>
      </c>
      <c r="B17" s="149">
        <v>302352</v>
      </c>
      <c r="C17" s="149">
        <v>164904</v>
      </c>
      <c r="D17" s="17" t="s">
        <v>4</v>
      </c>
      <c r="E17" s="150">
        <v>137448</v>
      </c>
      <c r="F17" s="152">
        <v>-65888</v>
      </c>
      <c r="G17" s="151" t="s">
        <v>4</v>
      </c>
      <c r="H17" s="153">
        <v>65888</v>
      </c>
      <c r="I17" s="152">
        <v>230792</v>
      </c>
      <c r="J17" s="151" t="s">
        <v>4</v>
      </c>
      <c r="K17" s="152">
        <v>71560</v>
      </c>
    </row>
    <row r="18" spans="1:11" ht="12.75" customHeight="1" x14ac:dyDescent="0.3">
      <c r="A18" s="148">
        <v>1981</v>
      </c>
      <c r="B18" s="152">
        <v>287402</v>
      </c>
      <c r="C18" s="152">
        <v>148382</v>
      </c>
      <c r="D18" s="151">
        <v>36107</v>
      </c>
      <c r="E18" s="153">
        <v>102913</v>
      </c>
      <c r="F18" s="152">
        <v>-77583</v>
      </c>
      <c r="G18" s="151">
        <v>19947</v>
      </c>
      <c r="H18" s="153">
        <v>57636</v>
      </c>
      <c r="I18" s="152">
        <v>225965</v>
      </c>
      <c r="J18" s="151">
        <v>16160</v>
      </c>
      <c r="K18" s="152">
        <v>45277</v>
      </c>
    </row>
    <row r="19" spans="1:11" ht="12.75" customHeight="1" x14ac:dyDescent="0.3">
      <c r="A19" s="148">
        <v>1982</v>
      </c>
      <c r="B19" s="149">
        <v>319714</v>
      </c>
      <c r="C19" s="149">
        <v>131860</v>
      </c>
      <c r="D19" s="17">
        <v>10018</v>
      </c>
      <c r="E19" s="150">
        <v>177836</v>
      </c>
      <c r="F19" s="152">
        <v>-124536</v>
      </c>
      <c r="G19" s="151">
        <v>-3295</v>
      </c>
      <c r="H19" s="153">
        <v>127831</v>
      </c>
      <c r="I19" s="152">
        <v>256396</v>
      </c>
      <c r="J19" s="151">
        <v>13313</v>
      </c>
      <c r="K19" s="152">
        <v>50005</v>
      </c>
    </row>
    <row r="20" spans="1:11" ht="12.75" customHeight="1" x14ac:dyDescent="0.3">
      <c r="A20" s="148">
        <v>1983</v>
      </c>
      <c r="B20" s="149">
        <v>427129</v>
      </c>
      <c r="C20" s="149">
        <v>141831</v>
      </c>
      <c r="D20" s="17">
        <v>27989</v>
      </c>
      <c r="E20" s="150">
        <v>257309</v>
      </c>
      <c r="F20" s="152">
        <v>-171504</v>
      </c>
      <c r="G20" s="151">
        <v>3064</v>
      </c>
      <c r="H20" s="153">
        <v>168440</v>
      </c>
      <c r="I20" s="152">
        <v>313335</v>
      </c>
      <c r="J20" s="151">
        <v>24925</v>
      </c>
      <c r="K20" s="152">
        <v>88869</v>
      </c>
    </row>
    <row r="21" spans="1:11" ht="12.75" customHeight="1" x14ac:dyDescent="0.3">
      <c r="A21" s="148">
        <v>1984</v>
      </c>
      <c r="B21" s="149">
        <v>383607</v>
      </c>
      <c r="C21" s="149">
        <v>132746</v>
      </c>
      <c r="D21" s="17">
        <v>45638</v>
      </c>
      <c r="E21" s="150">
        <v>205223</v>
      </c>
      <c r="F21" s="152">
        <v>-134384</v>
      </c>
      <c r="G21" s="151">
        <v>15869</v>
      </c>
      <c r="H21" s="153">
        <v>118515</v>
      </c>
      <c r="I21" s="152">
        <v>267130</v>
      </c>
      <c r="J21" s="151">
        <v>29769</v>
      </c>
      <c r="K21" s="152">
        <v>86708</v>
      </c>
    </row>
    <row r="22" spans="1:11" ht="12.75" customHeight="1" x14ac:dyDescent="0.3">
      <c r="A22" s="148">
        <v>1985</v>
      </c>
      <c r="B22" s="149">
        <v>306671</v>
      </c>
      <c r="C22" s="149">
        <v>30364</v>
      </c>
      <c r="D22" s="17">
        <v>42113</v>
      </c>
      <c r="E22" s="150">
        <v>234194</v>
      </c>
      <c r="F22" s="152">
        <v>-180108</v>
      </c>
      <c r="G22" s="151">
        <v>20175</v>
      </c>
      <c r="H22" s="153">
        <v>159933</v>
      </c>
      <c r="I22" s="152">
        <v>210472</v>
      </c>
      <c r="J22" s="151">
        <v>21938</v>
      </c>
      <c r="K22" s="152">
        <v>74261</v>
      </c>
    </row>
    <row r="23" spans="1:11" ht="12.75" customHeight="1" x14ac:dyDescent="0.3">
      <c r="A23" s="148">
        <v>1986</v>
      </c>
      <c r="B23" s="149">
        <v>281453</v>
      </c>
      <c r="C23" s="149">
        <v>-5823</v>
      </c>
      <c r="D23" s="17">
        <v>30979</v>
      </c>
      <c r="E23" s="150">
        <v>256297</v>
      </c>
      <c r="F23" s="152">
        <v>-189977</v>
      </c>
      <c r="G23" s="151">
        <v>11802</v>
      </c>
      <c r="H23" s="153">
        <v>178175</v>
      </c>
      <c r="I23" s="152">
        <v>184154</v>
      </c>
      <c r="J23" s="151">
        <v>19177</v>
      </c>
      <c r="K23" s="152">
        <v>78122</v>
      </c>
    </row>
    <row r="24" spans="1:11" ht="12.75" customHeight="1" x14ac:dyDescent="0.3">
      <c r="A24" s="148">
        <v>1987</v>
      </c>
      <c r="B24" s="149">
        <v>321035</v>
      </c>
      <c r="C24" s="149">
        <v>84399</v>
      </c>
      <c r="D24" s="17">
        <v>45184</v>
      </c>
      <c r="E24" s="150">
        <v>191452</v>
      </c>
      <c r="F24" s="152">
        <v>-109724</v>
      </c>
      <c r="G24" s="151">
        <v>16586</v>
      </c>
      <c r="H24" s="153">
        <v>93138</v>
      </c>
      <c r="I24" s="152">
        <v>194123</v>
      </c>
      <c r="J24" s="151">
        <v>28598</v>
      </c>
      <c r="K24" s="152">
        <v>98314</v>
      </c>
    </row>
    <row r="25" spans="1:11" ht="12.75" customHeight="1" x14ac:dyDescent="0.3">
      <c r="A25" s="148">
        <v>1988</v>
      </c>
      <c r="B25" s="149">
        <v>314362</v>
      </c>
      <c r="C25" s="149">
        <v>188556</v>
      </c>
      <c r="D25" s="17">
        <v>46964</v>
      </c>
      <c r="E25" s="150">
        <v>78842</v>
      </c>
      <c r="F25" s="152">
        <v>-15098</v>
      </c>
      <c r="G25" s="151">
        <v>21434</v>
      </c>
      <c r="H25" s="153">
        <v>-6336</v>
      </c>
      <c r="I25" s="152">
        <v>203654</v>
      </c>
      <c r="J25" s="151">
        <v>25530</v>
      </c>
      <c r="K25" s="152">
        <v>85178</v>
      </c>
    </row>
    <row r="26" spans="1:11" ht="12.75" customHeight="1" x14ac:dyDescent="0.3">
      <c r="A26" s="148">
        <v>1989</v>
      </c>
      <c r="B26" s="149">
        <v>327242</v>
      </c>
      <c r="C26" s="149">
        <v>109644</v>
      </c>
      <c r="D26" s="17">
        <v>66414</v>
      </c>
      <c r="E26" s="150">
        <v>151184</v>
      </c>
      <c r="F26" s="152">
        <v>-90197</v>
      </c>
      <c r="G26" s="151">
        <v>37867</v>
      </c>
      <c r="H26" s="153">
        <v>52330</v>
      </c>
      <c r="I26" s="152">
        <v>199841</v>
      </c>
      <c r="J26" s="151">
        <v>28547</v>
      </c>
      <c r="K26" s="152">
        <v>98854</v>
      </c>
    </row>
    <row r="27" spans="1:11" ht="6.95" customHeight="1" x14ac:dyDescent="0.3">
      <c r="A27" s="148"/>
      <c r="B27" s="149"/>
      <c r="C27" s="149"/>
      <c r="D27" s="17"/>
      <c r="E27" s="150"/>
      <c r="F27" s="152"/>
      <c r="G27" s="151"/>
      <c r="H27" s="153"/>
      <c r="I27" s="152"/>
      <c r="J27" s="151"/>
      <c r="K27" s="152"/>
    </row>
    <row r="28" spans="1:11" ht="12.75" customHeight="1" x14ac:dyDescent="0.3">
      <c r="A28" s="148">
        <v>1990</v>
      </c>
      <c r="B28" s="149">
        <v>276204</v>
      </c>
      <c r="C28" s="149">
        <v>-90992</v>
      </c>
      <c r="D28" s="17">
        <v>116685</v>
      </c>
      <c r="E28" s="150">
        <v>250511</v>
      </c>
      <c r="F28" s="152">
        <v>-251261</v>
      </c>
      <c r="G28" s="151">
        <v>84306</v>
      </c>
      <c r="H28" s="153">
        <v>166955</v>
      </c>
      <c r="I28" s="152">
        <v>160269</v>
      </c>
      <c r="J28" s="151">
        <v>32379</v>
      </c>
      <c r="K28" s="152">
        <v>83556</v>
      </c>
    </row>
    <row r="29" spans="1:11" ht="12.75" customHeight="1" x14ac:dyDescent="0.3">
      <c r="A29" s="148">
        <v>1991</v>
      </c>
      <c r="B29" s="149">
        <v>220581</v>
      </c>
      <c r="C29" s="149">
        <v>-36879</v>
      </c>
      <c r="D29" s="17">
        <v>80398</v>
      </c>
      <c r="E29" s="150">
        <v>177062</v>
      </c>
      <c r="F29" s="152">
        <v>-164071</v>
      </c>
      <c r="G29" s="151">
        <v>55458</v>
      </c>
      <c r="H29" s="153">
        <v>108613</v>
      </c>
      <c r="I29" s="152">
        <v>127192</v>
      </c>
      <c r="J29" s="151">
        <v>24940</v>
      </c>
      <c r="K29" s="152">
        <v>68449</v>
      </c>
    </row>
    <row r="30" spans="1:11" ht="12.75" customHeight="1" x14ac:dyDescent="0.3">
      <c r="A30" s="148">
        <v>1992</v>
      </c>
      <c r="B30" s="149">
        <v>169368</v>
      </c>
      <c r="C30" s="149">
        <v>-104884</v>
      </c>
      <c r="D30" s="17">
        <v>59381</v>
      </c>
      <c r="E30" s="150">
        <v>214871</v>
      </c>
      <c r="F30" s="152">
        <v>-201504</v>
      </c>
      <c r="G30" s="151">
        <v>43669</v>
      </c>
      <c r="H30" s="153">
        <v>157835</v>
      </c>
      <c r="I30" s="152">
        <v>96620</v>
      </c>
      <c r="J30" s="151">
        <v>15712</v>
      </c>
      <c r="K30" s="152">
        <v>57036</v>
      </c>
    </row>
    <row r="31" spans="1:11" ht="12.75" customHeight="1" x14ac:dyDescent="0.3">
      <c r="A31" s="148">
        <v>1993</v>
      </c>
      <c r="B31" s="149">
        <v>151529</v>
      </c>
      <c r="C31" s="149">
        <v>-182632</v>
      </c>
      <c r="D31" s="17">
        <v>39663</v>
      </c>
      <c r="E31" s="150">
        <v>294498</v>
      </c>
      <c r="F31" s="152">
        <v>-269931</v>
      </c>
      <c r="G31" s="151">
        <v>26582</v>
      </c>
      <c r="H31" s="153">
        <v>243349</v>
      </c>
      <c r="I31" s="152">
        <v>87299</v>
      </c>
      <c r="J31" s="151">
        <v>13081</v>
      </c>
      <c r="K31" s="152">
        <v>51149</v>
      </c>
    </row>
    <row r="32" spans="1:11" ht="12.75" customHeight="1" x14ac:dyDescent="0.3">
      <c r="A32" s="148">
        <v>1994</v>
      </c>
      <c r="B32" s="149">
        <v>122441</v>
      </c>
      <c r="C32" s="149">
        <v>-236497</v>
      </c>
      <c r="D32" s="17">
        <v>36861</v>
      </c>
      <c r="E32" s="150">
        <v>322077</v>
      </c>
      <c r="F32" s="152">
        <v>-303058</v>
      </c>
      <c r="G32" s="151">
        <v>24245</v>
      </c>
      <c r="H32" s="153">
        <v>278813</v>
      </c>
      <c r="I32" s="152">
        <v>66561</v>
      </c>
      <c r="J32" s="151">
        <v>12616</v>
      </c>
      <c r="K32" s="152">
        <v>43264</v>
      </c>
    </row>
    <row r="33" spans="1:11" ht="12.75" customHeight="1" x14ac:dyDescent="0.3">
      <c r="A33" s="148">
        <v>1995</v>
      </c>
      <c r="B33" s="149">
        <v>69172</v>
      </c>
      <c r="C33" s="149">
        <v>-321898</v>
      </c>
      <c r="D33" s="17">
        <v>18556</v>
      </c>
      <c r="E33" s="150">
        <v>372514</v>
      </c>
      <c r="F33" s="152">
        <v>-357612</v>
      </c>
      <c r="G33" s="151">
        <v>15444</v>
      </c>
      <c r="H33" s="153">
        <v>342168</v>
      </c>
      <c r="I33" s="152">
        <v>35714</v>
      </c>
      <c r="J33" s="151">
        <v>3112</v>
      </c>
      <c r="K33" s="152">
        <v>30346</v>
      </c>
    </row>
    <row r="34" spans="1:11" ht="12.75" customHeight="1" x14ac:dyDescent="0.3">
      <c r="A34" s="148">
        <v>1996</v>
      </c>
      <c r="B34" s="149">
        <v>53770</v>
      </c>
      <c r="C34" s="149">
        <v>-211237</v>
      </c>
      <c r="D34" s="17">
        <v>12338</v>
      </c>
      <c r="E34" s="150">
        <v>252669</v>
      </c>
      <c r="F34" s="152">
        <v>-245453</v>
      </c>
      <c r="G34" s="151">
        <v>13086</v>
      </c>
      <c r="H34" s="153">
        <v>232367</v>
      </c>
      <c r="I34" s="152">
        <v>34216</v>
      </c>
      <c r="J34" s="151">
        <v>-748</v>
      </c>
      <c r="K34" s="152">
        <v>20302</v>
      </c>
    </row>
    <row r="35" spans="1:11" ht="12.75" customHeight="1" x14ac:dyDescent="0.3">
      <c r="A35" s="148">
        <v>1997</v>
      </c>
      <c r="B35" s="149">
        <v>62469</v>
      </c>
      <c r="C35" s="149">
        <v>-178319</v>
      </c>
      <c r="D35" s="17">
        <v>27040</v>
      </c>
      <c r="E35" s="150">
        <v>213748</v>
      </c>
      <c r="F35" s="152">
        <v>-217077</v>
      </c>
      <c r="G35" s="151">
        <v>25530</v>
      </c>
      <c r="H35" s="153">
        <v>191547</v>
      </c>
      <c r="I35" s="152">
        <v>38758</v>
      </c>
      <c r="J35" s="151">
        <v>1510</v>
      </c>
      <c r="K35" s="152">
        <v>22201</v>
      </c>
    </row>
    <row r="36" spans="1:11" ht="12.75" customHeight="1" x14ac:dyDescent="0.3">
      <c r="A36" s="148">
        <v>1998</v>
      </c>
      <c r="B36" s="149">
        <v>9286</v>
      </c>
      <c r="C36" s="149">
        <v>-134013</v>
      </c>
      <c r="D36" s="17">
        <v>20811</v>
      </c>
      <c r="E36" s="150">
        <v>122488</v>
      </c>
      <c r="F36" s="152">
        <v>-145907</v>
      </c>
      <c r="G36" s="151">
        <v>24162</v>
      </c>
      <c r="H36" s="153">
        <v>121745</v>
      </c>
      <c r="I36" s="152">
        <v>11894</v>
      </c>
      <c r="J36" s="151">
        <v>-3351</v>
      </c>
      <c r="K36" s="152">
        <v>743</v>
      </c>
    </row>
    <row r="37" spans="1:11" ht="12.75" customHeight="1" x14ac:dyDescent="0.3">
      <c r="A37" s="148">
        <v>1999</v>
      </c>
      <c r="B37" s="149">
        <v>94822</v>
      </c>
      <c r="C37" s="149">
        <v>-81122</v>
      </c>
      <c r="D37" s="17">
        <v>1810</v>
      </c>
      <c r="E37" s="150">
        <v>174134</v>
      </c>
      <c r="F37" s="152">
        <v>-136739</v>
      </c>
      <c r="G37" s="151">
        <v>-672</v>
      </c>
      <c r="H37" s="153">
        <v>137411</v>
      </c>
      <c r="I37" s="152">
        <v>55617</v>
      </c>
      <c r="J37" s="151">
        <v>2482</v>
      </c>
      <c r="K37" s="152">
        <v>36723</v>
      </c>
    </row>
    <row r="38" spans="1:11" ht="6.95" customHeight="1" x14ac:dyDescent="0.3">
      <c r="A38" s="148"/>
      <c r="B38" s="149"/>
      <c r="C38" s="149"/>
      <c r="D38" s="17"/>
      <c r="E38" s="150"/>
      <c r="F38" s="152"/>
      <c r="G38" s="151"/>
      <c r="H38" s="153"/>
      <c r="I38" s="152"/>
      <c r="J38" s="151"/>
      <c r="K38" s="152"/>
    </row>
    <row r="39" spans="1:11" ht="12.75" customHeight="1" x14ac:dyDescent="0.3">
      <c r="A39" s="148">
        <v>2000</v>
      </c>
      <c r="B39" s="149">
        <v>150252</v>
      </c>
      <c r="C39" s="149">
        <v>-46939</v>
      </c>
      <c r="D39" s="17">
        <v>13165</v>
      </c>
      <c r="E39" s="150">
        <v>184026</v>
      </c>
      <c r="F39" s="152">
        <v>-129816</v>
      </c>
      <c r="G39" s="151">
        <v>6877</v>
      </c>
      <c r="H39" s="153">
        <v>122939</v>
      </c>
      <c r="I39" s="152">
        <v>82877</v>
      </c>
      <c r="J39" s="151">
        <v>6288</v>
      </c>
      <c r="K39" s="152">
        <v>61087</v>
      </c>
    </row>
    <row r="40" spans="1:11" ht="12.75" customHeight="1" x14ac:dyDescent="0.3">
      <c r="A40" s="148">
        <v>2001</v>
      </c>
      <c r="B40" s="149">
        <v>136115</v>
      </c>
      <c r="C40" s="149">
        <v>-113949</v>
      </c>
      <c r="D40" s="17">
        <v>1117</v>
      </c>
      <c r="E40" s="150">
        <v>248947</v>
      </c>
      <c r="F40" s="152">
        <v>-186489</v>
      </c>
      <c r="G40" s="151">
        <v>-4787</v>
      </c>
      <c r="H40" s="153">
        <v>191276</v>
      </c>
      <c r="I40" s="152">
        <v>72540</v>
      </c>
      <c r="J40" s="151">
        <v>5904</v>
      </c>
      <c r="K40" s="152">
        <v>57671</v>
      </c>
    </row>
    <row r="41" spans="1:11" ht="12.75" customHeight="1" x14ac:dyDescent="0.3">
      <c r="A41" s="148">
        <v>2002</v>
      </c>
      <c r="B41" s="149">
        <v>209591</v>
      </c>
      <c r="C41" s="149">
        <v>-106421</v>
      </c>
      <c r="D41" s="17">
        <v>230</v>
      </c>
      <c r="E41" s="150">
        <v>315782</v>
      </c>
      <c r="F41" s="152">
        <v>-205704</v>
      </c>
      <c r="G41" s="151">
        <v>-14195</v>
      </c>
      <c r="H41" s="153">
        <v>219899</v>
      </c>
      <c r="I41" s="152">
        <v>99283</v>
      </c>
      <c r="J41" s="151">
        <v>14425</v>
      </c>
      <c r="K41" s="152">
        <v>95883</v>
      </c>
    </row>
    <row r="42" spans="1:11" ht="12.75" customHeight="1" x14ac:dyDescent="0.3">
      <c r="A42" s="148">
        <v>2003</v>
      </c>
      <c r="B42" s="149">
        <v>136904</v>
      </c>
      <c r="C42" s="149">
        <v>-68968</v>
      </c>
      <c r="D42" s="17">
        <v>-16171</v>
      </c>
      <c r="E42" s="150">
        <v>222043</v>
      </c>
      <c r="F42" s="152">
        <v>-134433</v>
      </c>
      <c r="G42" s="151">
        <v>-21782</v>
      </c>
      <c r="H42" s="153">
        <v>156215</v>
      </c>
      <c r="I42" s="152">
        <v>65465</v>
      </c>
      <c r="J42" s="151">
        <v>5611</v>
      </c>
      <c r="K42" s="152">
        <v>65828</v>
      </c>
    </row>
    <row r="43" spans="1:11" ht="12.75" customHeight="1" x14ac:dyDescent="0.3">
      <c r="A43" s="148">
        <v>2004</v>
      </c>
      <c r="B43" s="149">
        <v>140336</v>
      </c>
      <c r="C43" s="149">
        <v>-47204</v>
      </c>
      <c r="D43" s="17">
        <v>-1335</v>
      </c>
      <c r="E43" s="150">
        <v>188875</v>
      </c>
      <c r="F43" s="152">
        <v>-112897</v>
      </c>
      <c r="G43" s="151">
        <v>-7456</v>
      </c>
      <c r="H43" s="153">
        <v>120353</v>
      </c>
      <c r="I43" s="152">
        <v>65693</v>
      </c>
      <c r="J43" s="151">
        <v>6121</v>
      </c>
      <c r="K43" s="152">
        <v>68522</v>
      </c>
    </row>
    <row r="44" spans="1:11" ht="12.75" customHeight="1" x14ac:dyDescent="0.3">
      <c r="A44" s="148">
        <v>2005</v>
      </c>
      <c r="B44" s="149">
        <v>128809</v>
      </c>
      <c r="C44" s="149">
        <v>-51007</v>
      </c>
      <c r="D44" s="17">
        <v>10965</v>
      </c>
      <c r="E44" s="150">
        <v>168851</v>
      </c>
      <c r="F44" s="152">
        <v>-109069</v>
      </c>
      <c r="G44" s="151">
        <v>5811</v>
      </c>
      <c r="H44" s="153">
        <v>103258</v>
      </c>
      <c r="I44" s="152">
        <v>58062</v>
      </c>
      <c r="J44" s="151">
        <v>5154</v>
      </c>
      <c r="K44" s="152">
        <v>65593</v>
      </c>
    </row>
    <row r="45" spans="1:11" ht="12.75" customHeight="1" x14ac:dyDescent="0.3">
      <c r="A45" s="148">
        <v>2006</v>
      </c>
      <c r="B45" s="149">
        <v>111700</v>
      </c>
      <c r="C45" s="149">
        <v>-36551</v>
      </c>
      <c r="D45" s="17">
        <v>9618</v>
      </c>
      <c r="E45" s="150">
        <v>138633</v>
      </c>
      <c r="F45" s="152">
        <v>-96947</v>
      </c>
      <c r="G45" s="151">
        <v>6030</v>
      </c>
      <c r="H45" s="153">
        <v>90917</v>
      </c>
      <c r="I45" s="152">
        <v>60396</v>
      </c>
      <c r="J45" s="151">
        <v>3588</v>
      </c>
      <c r="K45" s="152">
        <v>47716</v>
      </c>
    </row>
    <row r="46" spans="1:11" ht="12.75" customHeight="1" x14ac:dyDescent="0.3">
      <c r="A46" s="148">
        <v>2007</v>
      </c>
      <c r="B46" s="149">
        <v>82938</v>
      </c>
      <c r="C46" s="149">
        <v>-52883</v>
      </c>
      <c r="D46" s="17">
        <v>22721</v>
      </c>
      <c r="E46" s="150">
        <v>113100</v>
      </c>
      <c r="F46" s="152">
        <v>-104705</v>
      </c>
      <c r="G46" s="151">
        <v>19752</v>
      </c>
      <c r="H46" s="153">
        <v>84953</v>
      </c>
      <c r="I46" s="152">
        <v>51822</v>
      </c>
      <c r="J46" s="151">
        <v>2969</v>
      </c>
      <c r="K46" s="152">
        <v>28147</v>
      </c>
    </row>
    <row r="47" spans="1:11" ht="12.75" customHeight="1" x14ac:dyDescent="0.3">
      <c r="A47" s="148">
        <v>2008</v>
      </c>
      <c r="B47" s="149">
        <v>52022</v>
      </c>
      <c r="C47" s="149">
        <v>-57994</v>
      </c>
      <c r="D47" s="17">
        <v>9419</v>
      </c>
      <c r="E47" s="150">
        <v>100597</v>
      </c>
      <c r="F47" s="152">
        <v>-98907</v>
      </c>
      <c r="G47" s="151">
        <v>11237</v>
      </c>
      <c r="H47" s="153">
        <v>87670</v>
      </c>
      <c r="I47" s="152">
        <v>40913</v>
      </c>
      <c r="J47" s="151">
        <v>-1818</v>
      </c>
      <c r="K47" s="152">
        <v>12927</v>
      </c>
    </row>
    <row r="48" spans="1:11" ht="12.75" customHeight="1" x14ac:dyDescent="0.3">
      <c r="A48" s="148">
        <v>2009</v>
      </c>
      <c r="B48" s="149">
        <v>43987</v>
      </c>
      <c r="C48" s="149">
        <v>-52264</v>
      </c>
      <c r="D48" s="17">
        <v>2098</v>
      </c>
      <c r="E48" s="150">
        <v>94153</v>
      </c>
      <c r="F48" s="152">
        <v>-86864</v>
      </c>
      <c r="G48" s="151">
        <v>5522</v>
      </c>
      <c r="H48" s="153">
        <v>81342</v>
      </c>
      <c r="I48" s="152">
        <v>34600</v>
      </c>
      <c r="J48" s="151">
        <v>-3424</v>
      </c>
      <c r="K48" s="152">
        <v>12811</v>
      </c>
    </row>
    <row r="49" spans="1:11" ht="6.95" customHeight="1" x14ac:dyDescent="0.3">
      <c r="A49" s="148"/>
      <c r="B49" s="149"/>
      <c r="C49" s="149"/>
      <c r="D49" s="17"/>
      <c r="E49" s="150"/>
      <c r="F49" s="152"/>
      <c r="G49" s="151"/>
      <c r="H49" s="153"/>
      <c r="I49" s="152"/>
      <c r="J49" s="151"/>
      <c r="K49" s="152"/>
    </row>
    <row r="50" spans="1:11" ht="12.75" customHeight="1" x14ac:dyDescent="0.3">
      <c r="A50" s="148">
        <v>2010</v>
      </c>
      <c r="B50" s="149">
        <v>31026</v>
      </c>
      <c r="C50" s="149">
        <v>-115023</v>
      </c>
      <c r="D50" s="149">
        <v>3612</v>
      </c>
      <c r="E50" s="150">
        <v>142437</v>
      </c>
      <c r="F50" s="152">
        <v>-135184</v>
      </c>
      <c r="G50" s="152">
        <v>7294</v>
      </c>
      <c r="H50" s="153">
        <v>127890</v>
      </c>
      <c r="I50" s="152">
        <v>20161</v>
      </c>
      <c r="J50" s="152">
        <v>-3682</v>
      </c>
      <c r="K50" s="152">
        <v>14547</v>
      </c>
    </row>
    <row r="51" spans="1:11" ht="12.75" customHeight="1" x14ac:dyDescent="0.3">
      <c r="A51" s="148">
        <v>2011</v>
      </c>
      <c r="B51" s="149">
        <v>-8450</v>
      </c>
      <c r="C51" s="149">
        <v>-113058</v>
      </c>
      <c r="D51" s="149">
        <v>28809</v>
      </c>
      <c r="E51" s="150">
        <v>75799</v>
      </c>
      <c r="F51" s="152">
        <v>-119997</v>
      </c>
      <c r="G51" s="152">
        <v>32025</v>
      </c>
      <c r="H51" s="153">
        <v>87972</v>
      </c>
      <c r="I51" s="152">
        <v>6939</v>
      </c>
      <c r="J51" s="152">
        <v>-3216</v>
      </c>
      <c r="K51" s="152">
        <v>-12173</v>
      </c>
    </row>
    <row r="52" spans="1:11" s="58" customFormat="1" ht="12.75" customHeight="1" x14ac:dyDescent="0.3">
      <c r="A52" s="148">
        <v>2012</v>
      </c>
      <c r="B52" s="149">
        <v>6900</v>
      </c>
      <c r="C52" s="149">
        <v>-103647</v>
      </c>
      <c r="D52" s="149">
        <v>27794</v>
      </c>
      <c r="E52" s="150">
        <v>82753</v>
      </c>
      <c r="F52" s="152">
        <v>-117384</v>
      </c>
      <c r="G52" s="152">
        <v>29027</v>
      </c>
      <c r="H52" s="153">
        <v>88357</v>
      </c>
      <c r="I52" s="152">
        <v>13737</v>
      </c>
      <c r="J52" s="152">
        <v>-1233</v>
      </c>
      <c r="K52" s="152">
        <v>-5604</v>
      </c>
    </row>
    <row r="53" spans="1:11" s="58" customFormat="1" ht="12.75" customHeight="1" x14ac:dyDescent="0.3">
      <c r="A53" s="148">
        <v>2013</v>
      </c>
      <c r="B53" s="149">
        <v>-4384</v>
      </c>
      <c r="C53" s="149">
        <v>-100550</v>
      </c>
      <c r="D53" s="149">
        <v>22035</v>
      </c>
      <c r="E53" s="150">
        <v>74131</v>
      </c>
      <c r="F53" s="152">
        <v>-108744</v>
      </c>
      <c r="G53" s="152">
        <v>25555</v>
      </c>
      <c r="H53" s="153">
        <v>83189</v>
      </c>
      <c r="I53" s="152">
        <v>8194</v>
      </c>
      <c r="J53" s="152">
        <v>-3520</v>
      </c>
      <c r="K53" s="152">
        <v>-9058</v>
      </c>
    </row>
    <row r="54" spans="1:11" s="58" customFormat="1" ht="12.75" customHeight="1" x14ac:dyDescent="0.3">
      <c r="A54" s="148">
        <v>2014</v>
      </c>
      <c r="B54" s="149">
        <v>-21111</v>
      </c>
      <c r="C54" s="149">
        <v>-87831</v>
      </c>
      <c r="D54" s="149">
        <v>9324</v>
      </c>
      <c r="E54" s="150">
        <v>57396</v>
      </c>
      <c r="F54" s="152">
        <v>-91916</v>
      </c>
      <c r="G54" s="152">
        <v>14483</v>
      </c>
      <c r="H54" s="153">
        <v>77433</v>
      </c>
      <c r="I54" s="152">
        <v>4085</v>
      </c>
      <c r="J54" s="152">
        <v>-5159</v>
      </c>
      <c r="K54" s="152">
        <v>-20037</v>
      </c>
    </row>
    <row r="55" spans="1:11" s="58" customFormat="1" ht="12.75" customHeight="1" x14ac:dyDescent="0.3">
      <c r="A55" s="148">
        <v>2015</v>
      </c>
      <c r="B55" s="149">
        <v>-32950</v>
      </c>
      <c r="C55" s="149">
        <v>-137256</v>
      </c>
      <c r="D55" s="149">
        <v>9538</v>
      </c>
      <c r="E55" s="150">
        <v>94768</v>
      </c>
      <c r="F55" s="152">
        <v>-131125</v>
      </c>
      <c r="G55" s="152">
        <v>16505</v>
      </c>
      <c r="H55" s="153">
        <v>114620</v>
      </c>
      <c r="I55" s="152">
        <v>-6131</v>
      </c>
      <c r="J55" s="152">
        <v>-6967</v>
      </c>
      <c r="K55" s="152">
        <v>-19852</v>
      </c>
    </row>
    <row r="56" spans="1:11" s="58" customFormat="1" ht="12.75" customHeight="1" x14ac:dyDescent="0.3">
      <c r="A56" s="148">
        <v>2016</v>
      </c>
      <c r="B56" s="149">
        <v>-863</v>
      </c>
      <c r="C56" s="149">
        <v>-140257</v>
      </c>
      <c r="D56" s="149">
        <v>5777</v>
      </c>
      <c r="E56" s="150">
        <v>133617</v>
      </c>
      <c r="F56" s="152">
        <v>-147662</v>
      </c>
      <c r="G56" s="152">
        <v>10359</v>
      </c>
      <c r="H56" s="153">
        <v>137303</v>
      </c>
      <c r="I56" s="152">
        <v>7405</v>
      </c>
      <c r="J56" s="152">
        <v>-4582</v>
      </c>
      <c r="K56" s="152">
        <v>-3686</v>
      </c>
    </row>
    <row r="57" spans="1:11" s="58" customFormat="1" ht="12.75" customHeight="1" x14ac:dyDescent="0.3">
      <c r="A57" s="154">
        <v>2017</v>
      </c>
      <c r="B57" s="152">
        <v>16006</v>
      </c>
      <c r="C57" s="152">
        <v>-98486</v>
      </c>
      <c r="D57" s="152">
        <v>-1670</v>
      </c>
      <c r="E57" s="150">
        <v>116162</v>
      </c>
      <c r="F57" s="152">
        <v>-115942</v>
      </c>
      <c r="G57" s="152">
        <v>1916</v>
      </c>
      <c r="H57" s="153">
        <v>114026</v>
      </c>
      <c r="I57" s="152">
        <v>17456</v>
      </c>
      <c r="J57" s="152">
        <v>-3586</v>
      </c>
      <c r="K57" s="152">
        <v>2136</v>
      </c>
    </row>
    <row r="58" spans="1:11" s="58" customFormat="1" ht="12.75" customHeight="1" x14ac:dyDescent="0.3">
      <c r="A58" s="154">
        <v>2018</v>
      </c>
      <c r="B58" s="152">
        <v>59797</v>
      </c>
      <c r="C58" s="152">
        <v>-110230</v>
      </c>
      <c r="D58" s="152">
        <v>-67</v>
      </c>
      <c r="E58" s="150">
        <v>170094</v>
      </c>
      <c r="F58" s="152">
        <v>-144034</v>
      </c>
      <c r="G58" s="152">
        <v>-753</v>
      </c>
      <c r="H58" s="153">
        <v>144787</v>
      </c>
      <c r="I58" s="152">
        <v>33804</v>
      </c>
      <c r="J58" s="152">
        <v>686</v>
      </c>
      <c r="K58" s="152">
        <v>25307</v>
      </c>
    </row>
    <row r="59" spans="1:11" s="58" customFormat="1" ht="12.75" customHeight="1" x14ac:dyDescent="0.3">
      <c r="A59" s="154">
        <v>2019</v>
      </c>
      <c r="B59" s="152">
        <v>82741</v>
      </c>
      <c r="C59" s="152">
        <v>-49588</v>
      </c>
      <c r="D59" s="152">
        <v>-2337</v>
      </c>
      <c r="E59" s="153">
        <v>134666</v>
      </c>
      <c r="F59" s="152">
        <v>-95765</v>
      </c>
      <c r="G59" s="152">
        <v>-4384</v>
      </c>
      <c r="H59" s="153">
        <v>100149</v>
      </c>
      <c r="I59" s="152">
        <v>46177</v>
      </c>
      <c r="J59" s="152">
        <v>2047</v>
      </c>
      <c r="K59" s="152">
        <v>34517</v>
      </c>
    </row>
    <row r="60" spans="1:11" s="58" customFormat="1" ht="6.95" customHeight="1" x14ac:dyDescent="0.3">
      <c r="A60" s="154"/>
      <c r="B60" s="152"/>
      <c r="C60" s="152"/>
      <c r="D60" s="152"/>
      <c r="E60" s="153"/>
      <c r="F60" s="152"/>
      <c r="G60" s="152"/>
      <c r="H60" s="153"/>
      <c r="I60" s="152"/>
      <c r="J60" s="152"/>
      <c r="K60" s="152"/>
    </row>
    <row r="61" spans="1:11" s="112" customFormat="1" ht="12.75" customHeight="1" x14ac:dyDescent="0.3">
      <c r="A61" s="154">
        <v>2020</v>
      </c>
      <c r="B61" s="152">
        <v>87775</v>
      </c>
      <c r="C61" s="152">
        <v>-64850</v>
      </c>
      <c r="D61" s="152">
        <v>-15748</v>
      </c>
      <c r="E61" s="153">
        <v>168373</v>
      </c>
      <c r="F61" s="152">
        <v>-110958</v>
      </c>
      <c r="G61" s="152">
        <v>-15322</v>
      </c>
      <c r="H61" s="153">
        <v>126280</v>
      </c>
      <c r="I61" s="152">
        <v>46108</v>
      </c>
      <c r="J61" s="152">
        <v>-426</v>
      </c>
      <c r="K61" s="152">
        <v>42093</v>
      </c>
    </row>
    <row r="62" spans="1:11" s="112" customFormat="1" ht="12.75" customHeight="1" x14ac:dyDescent="0.3">
      <c r="A62" s="154">
        <v>2021</v>
      </c>
      <c r="B62" s="152">
        <v>55697</v>
      </c>
      <c r="C62" s="152">
        <v>-106243</v>
      </c>
      <c r="D62" s="152">
        <v>11423</v>
      </c>
      <c r="E62" s="153">
        <v>150517</v>
      </c>
      <c r="F62" s="152">
        <v>-135423</v>
      </c>
      <c r="G62" s="152">
        <v>12741</v>
      </c>
      <c r="H62" s="153">
        <v>122682</v>
      </c>
      <c r="I62" s="152">
        <v>29180</v>
      </c>
      <c r="J62" s="152">
        <v>-1318</v>
      </c>
      <c r="K62" s="152">
        <v>27835</v>
      </c>
    </row>
    <row r="63" spans="1:11" s="112" customFormat="1" ht="12.75" customHeight="1" x14ac:dyDescent="0.3">
      <c r="A63" s="154">
        <v>2022</v>
      </c>
      <c r="B63" s="152">
        <v>36643</v>
      </c>
      <c r="C63" s="152">
        <v>-35340</v>
      </c>
      <c r="D63" s="152">
        <v>28101</v>
      </c>
      <c r="E63" s="153">
        <v>43882</v>
      </c>
      <c r="F63" s="152">
        <v>-71734</v>
      </c>
      <c r="G63" s="152">
        <v>28598</v>
      </c>
      <c r="H63" s="153">
        <v>43136</v>
      </c>
      <c r="I63" s="152">
        <v>36394</v>
      </c>
      <c r="J63" s="152">
        <v>-497</v>
      </c>
      <c r="K63" s="152">
        <v>746</v>
      </c>
    </row>
    <row r="64" spans="1:11" s="112" customFormat="1" ht="12.75" customHeight="1" x14ac:dyDescent="0.3">
      <c r="A64" s="154">
        <v>2023</v>
      </c>
      <c r="B64" s="152">
        <v>46869</v>
      </c>
      <c r="C64" s="152">
        <v>-31250</v>
      </c>
      <c r="D64" s="152">
        <v>33507</v>
      </c>
      <c r="E64" s="153">
        <v>44612</v>
      </c>
      <c r="F64" s="152">
        <v>-65542</v>
      </c>
      <c r="G64" s="152">
        <v>30436</v>
      </c>
      <c r="H64" s="153">
        <v>35106</v>
      </c>
      <c r="I64" s="152">
        <v>34292</v>
      </c>
      <c r="J64" s="152">
        <v>3071</v>
      </c>
      <c r="K64" s="152">
        <v>9506</v>
      </c>
    </row>
    <row r="65" spans="1:11" s="112" customFormat="1" ht="12.75" customHeight="1" x14ac:dyDescent="0.3">
      <c r="A65" s="154">
        <v>2024</v>
      </c>
      <c r="B65" s="152">
        <v>45169</v>
      </c>
      <c r="C65" s="152">
        <v>-44692</v>
      </c>
      <c r="D65" s="152">
        <v>25643</v>
      </c>
      <c r="E65" s="153">
        <v>64218</v>
      </c>
      <c r="F65" s="152">
        <v>-74791</v>
      </c>
      <c r="G65" s="152">
        <v>22173</v>
      </c>
      <c r="H65" s="153">
        <v>52618</v>
      </c>
      <c r="I65" s="152">
        <v>30099</v>
      </c>
      <c r="J65" s="152">
        <v>3470</v>
      </c>
      <c r="K65" s="152">
        <v>11600</v>
      </c>
    </row>
    <row r="66" spans="1:11" s="58" customFormat="1" ht="6.95" customHeight="1" thickBot="1" x14ac:dyDescent="0.35">
      <c r="A66" s="155"/>
      <c r="B66" s="156"/>
      <c r="C66" s="156"/>
      <c r="D66" s="156"/>
      <c r="E66" s="157"/>
      <c r="F66" s="156"/>
      <c r="G66" s="156"/>
      <c r="H66" s="157"/>
      <c r="I66" s="156"/>
      <c r="J66" s="156"/>
      <c r="K66" s="156"/>
    </row>
    <row r="67" spans="1:11" ht="16.5" customHeight="1" x14ac:dyDescent="0.3">
      <c r="A67" s="114"/>
      <c r="B67" s="109"/>
      <c r="C67" s="115"/>
      <c r="D67" s="115"/>
      <c r="E67" s="107"/>
    </row>
    <row r="68" spans="1:11" ht="16.5" customHeight="1" x14ac:dyDescent="0.3">
      <c r="A68" s="114"/>
      <c r="B68" s="109"/>
      <c r="C68" s="115"/>
      <c r="D68" s="115"/>
      <c r="E68" s="107"/>
    </row>
    <row r="69" spans="1:11" ht="16.5" customHeight="1" x14ac:dyDescent="0.3">
      <c r="A69" s="114"/>
      <c r="B69" s="109"/>
      <c r="C69" s="115"/>
      <c r="D69" s="115"/>
      <c r="E69" s="107"/>
    </row>
    <row r="70" spans="1:11" ht="16.5" customHeight="1" x14ac:dyDescent="0.3">
      <c r="A70" s="114"/>
      <c r="B70" s="109"/>
      <c r="C70" s="115"/>
      <c r="D70" s="115"/>
      <c r="E70" s="107"/>
    </row>
    <row r="71" spans="1:11" ht="16.5" customHeight="1" x14ac:dyDescent="0.3">
      <c r="C71" s="107"/>
      <c r="D71" s="107"/>
      <c r="E71" s="107"/>
    </row>
    <row r="77" spans="1:11" ht="16.5" customHeight="1" x14ac:dyDescent="0.3">
      <c r="E77" s="9" t="s">
        <v>221</v>
      </c>
    </row>
  </sheetData>
  <mergeCells count="5">
    <mergeCell ref="F3:H3"/>
    <mergeCell ref="I3:K3"/>
    <mergeCell ref="B3:B4"/>
    <mergeCell ref="A3:A4"/>
    <mergeCell ref="A1:K1"/>
  </mergeCells>
  <phoneticPr fontId="1" type="noConversion"/>
  <conditionalFormatting sqref="B6:K65">
    <cfRule type="cellIs" dxfId="3" priority="1" operator="between">
      <formula>-1</formula>
      <formula>-999</formula>
    </cfRule>
  </conditionalFormatting>
  <printOptions horizontalCentered="1"/>
  <pageMargins left="0.7" right="0.7" top="0.75" bottom="0.75" header="0.3" footer="0.3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78"/>
  <sheetViews>
    <sheetView showGridLines="0" view="pageBreakPreview" zoomScale="115" zoomScaleNormal="85" zoomScaleSheetLayoutView="115" workbookViewId="0">
      <selection sqref="A1:M1"/>
    </sheetView>
  </sheetViews>
  <sheetFormatPr defaultRowHeight="16.5" x14ac:dyDescent="0.3"/>
  <cols>
    <col min="1" max="1" width="13.125" customWidth="1"/>
    <col min="2" max="13" width="7.625" customWidth="1"/>
  </cols>
  <sheetData>
    <row r="1" spans="1:13" ht="25.5" customHeight="1" x14ac:dyDescent="0.3">
      <c r="A1" s="272" t="s">
        <v>290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3" ht="12.75" customHeight="1" thickBot="1" x14ac:dyDescent="0.35">
      <c r="A2" s="121"/>
      <c r="B2" s="121"/>
      <c r="C2" s="121"/>
      <c r="D2" s="121"/>
      <c r="E2" s="121"/>
      <c r="F2" s="121"/>
      <c r="G2" s="121"/>
      <c r="I2" s="7"/>
      <c r="J2" s="7"/>
      <c r="K2" s="7"/>
      <c r="L2" s="7"/>
      <c r="M2" s="7" t="s">
        <v>23</v>
      </c>
    </row>
    <row r="3" spans="1:13" ht="10.7" customHeight="1" x14ac:dyDescent="0.3">
      <c r="A3" s="292" t="s">
        <v>269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5"/>
    </row>
    <row r="4" spans="1:13" ht="10.7" customHeight="1" x14ac:dyDescent="0.3">
      <c r="A4" s="293"/>
      <c r="B4" s="187">
        <v>2013</v>
      </c>
      <c r="C4" s="187">
        <v>2014</v>
      </c>
      <c r="D4" s="187">
        <v>2015</v>
      </c>
      <c r="E4" s="187">
        <v>2016</v>
      </c>
      <c r="F4" s="187">
        <v>2017</v>
      </c>
      <c r="G4" s="187">
        <v>2018</v>
      </c>
      <c r="H4" s="187">
        <v>2019</v>
      </c>
      <c r="I4" s="187">
        <v>2020</v>
      </c>
      <c r="J4" s="187">
        <v>2021</v>
      </c>
      <c r="K4" s="187">
        <v>2022</v>
      </c>
      <c r="L4" s="187">
        <v>2023</v>
      </c>
      <c r="M4" s="16">
        <v>2024</v>
      </c>
    </row>
    <row r="5" spans="1:13" ht="10.7" customHeight="1" x14ac:dyDescent="0.3">
      <c r="A5" s="309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92"/>
    </row>
    <row r="6" spans="1:13" ht="9.9499999999999993" customHeight="1" x14ac:dyDescent="0.3">
      <c r="A6" s="179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2.2" customHeight="1" x14ac:dyDescent="0.3">
      <c r="A7" s="183" t="s">
        <v>261</v>
      </c>
      <c r="B7" s="182">
        <v>0</v>
      </c>
      <c r="C7" s="182">
        <v>0</v>
      </c>
      <c r="D7" s="182">
        <v>0</v>
      </c>
      <c r="E7" s="182">
        <v>0</v>
      </c>
      <c r="F7" s="182">
        <v>0</v>
      </c>
      <c r="G7" s="182">
        <v>0</v>
      </c>
      <c r="H7" s="182">
        <v>0</v>
      </c>
      <c r="I7" s="182">
        <v>0</v>
      </c>
      <c r="J7" s="182">
        <v>0</v>
      </c>
      <c r="K7" s="182">
        <v>0</v>
      </c>
      <c r="L7" s="182">
        <v>0</v>
      </c>
      <c r="M7" s="196">
        <v>0</v>
      </c>
    </row>
    <row r="8" spans="1:13" ht="12.2" customHeight="1" x14ac:dyDescent="0.3">
      <c r="A8" s="179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96"/>
    </row>
    <row r="9" spans="1:13" ht="12.2" customHeight="1" x14ac:dyDescent="0.3">
      <c r="A9" s="183" t="s">
        <v>228</v>
      </c>
      <c r="B9" s="182">
        <v>-108744</v>
      </c>
      <c r="C9" s="182">
        <v>-91916</v>
      </c>
      <c r="D9" s="182">
        <v>-131125</v>
      </c>
      <c r="E9" s="182">
        <v>-147662</v>
      </c>
      <c r="F9" s="182">
        <v>-115942</v>
      </c>
      <c r="G9" s="182">
        <v>-144034</v>
      </c>
      <c r="H9" s="182">
        <v>-95765</v>
      </c>
      <c r="I9" s="182">
        <v>-110958</v>
      </c>
      <c r="J9" s="182">
        <v>-135423</v>
      </c>
      <c r="K9" s="182">
        <v>-71734</v>
      </c>
      <c r="L9" s="182">
        <v>-65542</v>
      </c>
      <c r="M9" s="196">
        <v>-74791</v>
      </c>
    </row>
    <row r="10" spans="1:13" ht="12.2" customHeight="1" x14ac:dyDescent="0.3">
      <c r="A10" s="179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96"/>
    </row>
    <row r="11" spans="1:13" ht="12.2" customHeight="1" x14ac:dyDescent="0.3">
      <c r="A11" s="179" t="s">
        <v>212</v>
      </c>
      <c r="B11" s="182">
        <v>-7026</v>
      </c>
      <c r="C11" s="182">
        <v>-2828</v>
      </c>
      <c r="D11" s="182">
        <v>-6924</v>
      </c>
      <c r="E11" s="182">
        <v>-8462</v>
      </c>
      <c r="F11" s="182">
        <v>-141</v>
      </c>
      <c r="G11" s="182">
        <v>-1604</v>
      </c>
      <c r="H11" s="182">
        <v>6906</v>
      </c>
      <c r="I11" s="182">
        <v>6984</v>
      </c>
      <c r="J11" s="182">
        <v>5315</v>
      </c>
      <c r="K11" s="182">
        <v>12793</v>
      </c>
      <c r="L11" s="182">
        <v>14617</v>
      </c>
      <c r="M11" s="196">
        <v>13326</v>
      </c>
    </row>
    <row r="12" spans="1:13" ht="12.2" customHeight="1" x14ac:dyDescent="0.3">
      <c r="A12" s="179" t="s">
        <v>213</v>
      </c>
      <c r="B12" s="182">
        <v>-22064</v>
      </c>
      <c r="C12" s="182">
        <v>-19568</v>
      </c>
      <c r="D12" s="182">
        <v>-27881</v>
      </c>
      <c r="E12" s="182">
        <v>-30771</v>
      </c>
      <c r="F12" s="182">
        <v>-26964</v>
      </c>
      <c r="G12" s="182">
        <v>-31514</v>
      </c>
      <c r="H12" s="182">
        <v>-28238</v>
      </c>
      <c r="I12" s="182">
        <v>-32507</v>
      </c>
      <c r="J12" s="182">
        <v>-36716</v>
      </c>
      <c r="K12" s="182">
        <v>-26787</v>
      </c>
      <c r="L12" s="182">
        <v>-28387</v>
      </c>
      <c r="M12" s="196">
        <v>-33463</v>
      </c>
    </row>
    <row r="13" spans="1:13" ht="12.2" customHeight="1" x14ac:dyDescent="0.3">
      <c r="A13" s="179" t="s">
        <v>214</v>
      </c>
      <c r="B13" s="182">
        <v>-55492</v>
      </c>
      <c r="C13" s="182">
        <v>-57593</v>
      </c>
      <c r="D13" s="182">
        <v>-86875</v>
      </c>
      <c r="E13" s="182">
        <v>-100715</v>
      </c>
      <c r="F13" s="182">
        <v>-81851</v>
      </c>
      <c r="G13" s="182">
        <v>-100692</v>
      </c>
      <c r="H13" s="182">
        <v>-71212</v>
      </c>
      <c r="I13" s="182">
        <v>-80118</v>
      </c>
      <c r="J13" s="182">
        <v>-93119</v>
      </c>
      <c r="K13" s="182">
        <v>-56216</v>
      </c>
      <c r="L13" s="182">
        <v>-53366</v>
      </c>
      <c r="M13" s="196">
        <v>-58742</v>
      </c>
    </row>
    <row r="14" spans="1:13" ht="12.2" customHeight="1" x14ac:dyDescent="0.3">
      <c r="A14" s="179" t="s">
        <v>215</v>
      </c>
      <c r="B14" s="182">
        <v>2321</v>
      </c>
      <c r="C14" s="182">
        <v>3313</v>
      </c>
      <c r="D14" s="182">
        <v>3089</v>
      </c>
      <c r="E14" s="182">
        <v>3630</v>
      </c>
      <c r="F14" s="182">
        <v>4814</v>
      </c>
      <c r="G14" s="182">
        <v>5527</v>
      </c>
      <c r="H14" s="182">
        <v>7509</v>
      </c>
      <c r="I14" s="182">
        <v>7796</v>
      </c>
      <c r="J14" s="182">
        <v>6303</v>
      </c>
      <c r="K14" s="182">
        <v>10518</v>
      </c>
      <c r="L14" s="182">
        <v>12622</v>
      </c>
      <c r="M14" s="196">
        <v>13583</v>
      </c>
    </row>
    <row r="15" spans="1:13" ht="12.2" customHeight="1" x14ac:dyDescent="0.3">
      <c r="A15" s="179" t="s">
        <v>216</v>
      </c>
      <c r="B15" s="182">
        <v>-330</v>
      </c>
      <c r="C15" s="182">
        <v>-1117</v>
      </c>
      <c r="D15" s="182">
        <v>-2087</v>
      </c>
      <c r="E15" s="182">
        <v>-167</v>
      </c>
      <c r="F15" s="182">
        <v>49</v>
      </c>
      <c r="G15" s="182">
        <v>-1694</v>
      </c>
      <c r="H15" s="182">
        <v>-1225</v>
      </c>
      <c r="I15" s="182">
        <v>-2320</v>
      </c>
      <c r="J15" s="182">
        <v>-2371</v>
      </c>
      <c r="K15" s="182">
        <v>-1491</v>
      </c>
      <c r="L15" s="182">
        <v>-1173</v>
      </c>
      <c r="M15" s="196">
        <v>-850</v>
      </c>
    </row>
    <row r="16" spans="1:13" ht="12.2" customHeight="1" x14ac:dyDescent="0.3">
      <c r="A16" s="179" t="s">
        <v>217</v>
      </c>
      <c r="B16" s="182">
        <v>-4432</v>
      </c>
      <c r="C16" s="182">
        <v>-4898</v>
      </c>
      <c r="D16" s="182">
        <v>-4299</v>
      </c>
      <c r="E16" s="182">
        <v>-3957</v>
      </c>
      <c r="F16" s="182">
        <v>-4815</v>
      </c>
      <c r="G16" s="182">
        <v>-5032</v>
      </c>
      <c r="H16" s="182">
        <v>-5440</v>
      </c>
      <c r="I16" s="182">
        <v>-6607</v>
      </c>
      <c r="J16" s="182">
        <v>-6161</v>
      </c>
      <c r="K16" s="182">
        <v>-4880</v>
      </c>
      <c r="L16" s="182">
        <v>-4431</v>
      </c>
      <c r="M16" s="196">
        <v>-4452</v>
      </c>
    </row>
    <row r="17" spans="1:13" ht="12.2" customHeight="1" x14ac:dyDescent="0.3">
      <c r="A17" s="179" t="s">
        <v>218</v>
      </c>
      <c r="B17" s="182">
        <v>-21721</v>
      </c>
      <c r="C17" s="182">
        <v>-9225</v>
      </c>
      <c r="D17" s="182">
        <v>-6148</v>
      </c>
      <c r="E17" s="182">
        <v>-7220</v>
      </c>
      <c r="F17" s="182">
        <v>-7034</v>
      </c>
      <c r="G17" s="182">
        <v>-9025</v>
      </c>
      <c r="H17" s="182">
        <v>-4065</v>
      </c>
      <c r="I17" s="182">
        <v>-4186</v>
      </c>
      <c r="J17" s="182">
        <v>-8674</v>
      </c>
      <c r="K17" s="182">
        <v>-5671</v>
      </c>
      <c r="L17" s="182">
        <v>-5424</v>
      </c>
      <c r="M17" s="196">
        <v>-4193</v>
      </c>
    </row>
    <row r="18" spans="1:13" ht="12.2" customHeight="1" x14ac:dyDescent="0.3">
      <c r="A18" s="179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96"/>
    </row>
    <row r="19" spans="1:13" ht="12.2" customHeight="1" x14ac:dyDescent="0.3">
      <c r="A19" s="183" t="s">
        <v>229</v>
      </c>
      <c r="B19" s="182">
        <v>25555</v>
      </c>
      <c r="C19" s="182">
        <v>14483</v>
      </c>
      <c r="D19" s="182">
        <v>16505</v>
      </c>
      <c r="E19" s="182">
        <v>10359</v>
      </c>
      <c r="F19" s="182">
        <v>1916</v>
      </c>
      <c r="G19" s="182">
        <v>-753</v>
      </c>
      <c r="H19" s="182">
        <v>-4384</v>
      </c>
      <c r="I19" s="182">
        <v>-15322</v>
      </c>
      <c r="J19" s="182">
        <v>12741</v>
      </c>
      <c r="K19" s="182">
        <v>28598</v>
      </c>
      <c r="L19" s="182">
        <v>30436</v>
      </c>
      <c r="M19" s="196">
        <v>22173</v>
      </c>
    </row>
    <row r="20" spans="1:13" ht="12.2" customHeight="1" x14ac:dyDescent="0.3">
      <c r="A20" s="179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96"/>
    </row>
    <row r="21" spans="1:13" ht="12.2" customHeight="1" x14ac:dyDescent="0.3">
      <c r="A21" s="179" t="s">
        <v>212</v>
      </c>
      <c r="B21" s="182">
        <v>-483</v>
      </c>
      <c r="C21" s="182">
        <v>-1537</v>
      </c>
      <c r="D21" s="182">
        <v>-1172</v>
      </c>
      <c r="E21" s="182">
        <v>-2774</v>
      </c>
      <c r="F21" s="182">
        <v>-3256</v>
      </c>
      <c r="G21" s="182">
        <v>-3806</v>
      </c>
      <c r="H21" s="182">
        <v>-5331</v>
      </c>
      <c r="I21" s="182">
        <v>-8686</v>
      </c>
      <c r="J21" s="182">
        <v>-5755</v>
      </c>
      <c r="K21" s="182">
        <v>-3271</v>
      </c>
      <c r="L21" s="182">
        <v>-1601</v>
      </c>
      <c r="M21" s="196">
        <v>-1997</v>
      </c>
    </row>
    <row r="22" spans="1:13" ht="12.2" customHeight="1" x14ac:dyDescent="0.3">
      <c r="A22" s="179" t="s">
        <v>213</v>
      </c>
      <c r="B22" s="182">
        <v>3799</v>
      </c>
      <c r="C22" s="182">
        <v>2375</v>
      </c>
      <c r="D22" s="182">
        <v>3465</v>
      </c>
      <c r="E22" s="182">
        <v>3978</v>
      </c>
      <c r="F22" s="182">
        <v>2850</v>
      </c>
      <c r="G22" s="182">
        <v>2588</v>
      </c>
      <c r="H22" s="182">
        <v>688</v>
      </c>
      <c r="I22" s="182">
        <v>-3091</v>
      </c>
      <c r="J22" s="182">
        <v>2369</v>
      </c>
      <c r="K22" s="182">
        <v>6173</v>
      </c>
      <c r="L22" s="182">
        <v>7374</v>
      </c>
      <c r="M22" s="196">
        <v>6340</v>
      </c>
    </row>
    <row r="23" spans="1:13" ht="12.2" customHeight="1" x14ac:dyDescent="0.3">
      <c r="A23" s="179" t="s">
        <v>214</v>
      </c>
      <c r="B23" s="182">
        <v>12818</v>
      </c>
      <c r="C23" s="182">
        <v>11345</v>
      </c>
      <c r="D23" s="182">
        <v>13739</v>
      </c>
      <c r="E23" s="182">
        <v>9181</v>
      </c>
      <c r="F23" s="182">
        <v>3641</v>
      </c>
      <c r="G23" s="182">
        <v>2997</v>
      </c>
      <c r="H23" s="182">
        <v>4029</v>
      </c>
      <c r="I23" s="182">
        <v>-885</v>
      </c>
      <c r="J23" s="182">
        <v>15541</v>
      </c>
      <c r="K23" s="182">
        <v>23163</v>
      </c>
      <c r="L23" s="182">
        <v>23333</v>
      </c>
      <c r="M23" s="196">
        <v>17456</v>
      </c>
    </row>
    <row r="24" spans="1:13" ht="12.2" customHeight="1" x14ac:dyDescent="0.3">
      <c r="A24" s="179" t="s">
        <v>215</v>
      </c>
      <c r="B24" s="182">
        <v>-1038</v>
      </c>
      <c r="C24" s="182">
        <v>-1169</v>
      </c>
      <c r="D24" s="182">
        <v>-1199</v>
      </c>
      <c r="E24" s="182">
        <v>-1309</v>
      </c>
      <c r="F24" s="182">
        <v>-1436</v>
      </c>
      <c r="G24" s="182">
        <v>-1461</v>
      </c>
      <c r="H24" s="182">
        <v>-1735</v>
      </c>
      <c r="I24" s="182">
        <v>-1733</v>
      </c>
      <c r="J24" s="182">
        <v>-1474</v>
      </c>
      <c r="K24" s="182">
        <v>-1548</v>
      </c>
      <c r="L24" s="182">
        <v>-1036</v>
      </c>
      <c r="M24" s="196">
        <v>-1353</v>
      </c>
    </row>
    <row r="25" spans="1:13" ht="12.2" customHeight="1" x14ac:dyDescent="0.3">
      <c r="A25" s="179" t="s">
        <v>216</v>
      </c>
      <c r="B25" s="182">
        <v>-73</v>
      </c>
      <c r="C25" s="182">
        <v>-284</v>
      </c>
      <c r="D25" s="182">
        <v>13</v>
      </c>
      <c r="E25" s="182">
        <v>-75</v>
      </c>
      <c r="F25" s="182">
        <v>-643</v>
      </c>
      <c r="G25" s="182">
        <v>-1083</v>
      </c>
      <c r="H25" s="182">
        <v>-842</v>
      </c>
      <c r="I25" s="182">
        <v>-850</v>
      </c>
      <c r="J25" s="182">
        <v>191</v>
      </c>
      <c r="K25" s="182">
        <v>1084</v>
      </c>
      <c r="L25" s="182">
        <v>1034</v>
      </c>
      <c r="M25" s="196">
        <v>442</v>
      </c>
    </row>
    <row r="26" spans="1:13" ht="12.2" customHeight="1" x14ac:dyDescent="0.3">
      <c r="A26" s="179" t="s">
        <v>217</v>
      </c>
      <c r="B26" s="182">
        <v>524</v>
      </c>
      <c r="C26" s="182">
        <v>239</v>
      </c>
      <c r="D26" s="182">
        <v>155</v>
      </c>
      <c r="E26" s="182">
        <v>241</v>
      </c>
      <c r="F26" s="182">
        <v>209</v>
      </c>
      <c r="G26" s="182">
        <v>321</v>
      </c>
      <c r="H26" s="182">
        <v>207</v>
      </c>
      <c r="I26" s="182">
        <v>256</v>
      </c>
      <c r="J26" s="182">
        <v>292</v>
      </c>
      <c r="K26" s="182">
        <v>489</v>
      </c>
      <c r="L26" s="182">
        <v>374</v>
      </c>
      <c r="M26" s="196">
        <v>477</v>
      </c>
    </row>
    <row r="27" spans="1:13" ht="12.2" customHeight="1" x14ac:dyDescent="0.3">
      <c r="A27" s="179" t="s">
        <v>218</v>
      </c>
      <c r="B27" s="182">
        <v>10008</v>
      </c>
      <c r="C27" s="182">
        <v>3514</v>
      </c>
      <c r="D27" s="182">
        <v>1504</v>
      </c>
      <c r="E27" s="182">
        <v>1117</v>
      </c>
      <c r="F27" s="182">
        <v>551</v>
      </c>
      <c r="G27" s="182">
        <v>-309</v>
      </c>
      <c r="H27" s="182">
        <v>-1400</v>
      </c>
      <c r="I27" s="182">
        <v>-333</v>
      </c>
      <c r="J27" s="182">
        <v>1577</v>
      </c>
      <c r="K27" s="182">
        <v>2508</v>
      </c>
      <c r="L27" s="182">
        <v>958</v>
      </c>
      <c r="M27" s="196">
        <v>808</v>
      </c>
    </row>
    <row r="28" spans="1:13" ht="12.2" customHeight="1" x14ac:dyDescent="0.3">
      <c r="A28" s="179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96"/>
    </row>
    <row r="29" spans="1:13" ht="12.2" customHeight="1" x14ac:dyDescent="0.3">
      <c r="A29" s="183" t="s">
        <v>230</v>
      </c>
      <c r="B29" s="182">
        <f t="shared" ref="B29" si="0">SUM(B31:B37)</f>
        <v>83189</v>
      </c>
      <c r="C29" s="182">
        <f t="shared" ref="C29:M29" si="1">SUM(C31:C37)</f>
        <v>77433</v>
      </c>
      <c r="D29" s="182">
        <f t="shared" si="1"/>
        <v>114620</v>
      </c>
      <c r="E29" s="182">
        <f t="shared" si="1"/>
        <v>137303</v>
      </c>
      <c r="F29" s="182">
        <f t="shared" si="1"/>
        <v>114026</v>
      </c>
      <c r="G29" s="182">
        <f t="shared" si="1"/>
        <v>144787</v>
      </c>
      <c r="H29" s="182">
        <f t="shared" si="1"/>
        <v>100149</v>
      </c>
      <c r="I29" s="182">
        <f t="shared" si="1"/>
        <v>126280</v>
      </c>
      <c r="J29" s="182">
        <f t="shared" si="1"/>
        <v>122682</v>
      </c>
      <c r="K29" s="182">
        <f t="shared" si="1"/>
        <v>43136</v>
      </c>
      <c r="L29" s="182">
        <f t="shared" si="1"/>
        <v>35106</v>
      </c>
      <c r="M29" s="196">
        <f t="shared" si="1"/>
        <v>52618</v>
      </c>
    </row>
    <row r="30" spans="1:13" ht="12.2" customHeight="1" x14ac:dyDescent="0.3">
      <c r="A30" s="179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96"/>
    </row>
    <row r="31" spans="1:13" ht="12.2" customHeight="1" x14ac:dyDescent="0.3">
      <c r="A31" s="179" t="s">
        <v>212</v>
      </c>
      <c r="B31" s="182">
        <v>7509</v>
      </c>
      <c r="C31" s="182">
        <v>4365</v>
      </c>
      <c r="D31" s="182">
        <v>8096</v>
      </c>
      <c r="E31" s="182">
        <v>11236</v>
      </c>
      <c r="F31" s="182">
        <v>3397</v>
      </c>
      <c r="G31" s="182">
        <v>5410</v>
      </c>
      <c r="H31" s="182">
        <v>-1575</v>
      </c>
      <c r="I31" s="182">
        <v>1702</v>
      </c>
      <c r="J31" s="182">
        <v>440</v>
      </c>
      <c r="K31" s="182">
        <v>-9522</v>
      </c>
      <c r="L31" s="182">
        <v>-13016</v>
      </c>
      <c r="M31" s="196">
        <v>-11329</v>
      </c>
    </row>
    <row r="32" spans="1:13" ht="12.2" customHeight="1" x14ac:dyDescent="0.3">
      <c r="A32" s="179" t="s">
        <v>213</v>
      </c>
      <c r="B32" s="182">
        <v>18265</v>
      </c>
      <c r="C32" s="182">
        <v>17193</v>
      </c>
      <c r="D32" s="182">
        <v>24416</v>
      </c>
      <c r="E32" s="182">
        <v>26793</v>
      </c>
      <c r="F32" s="182">
        <v>24114</v>
      </c>
      <c r="G32" s="182">
        <v>28926</v>
      </c>
      <c r="H32" s="182">
        <v>27550</v>
      </c>
      <c r="I32" s="182">
        <v>35598</v>
      </c>
      <c r="J32" s="182">
        <v>34347</v>
      </c>
      <c r="K32" s="182">
        <v>20614</v>
      </c>
      <c r="L32" s="182">
        <v>21013</v>
      </c>
      <c r="M32" s="196">
        <v>27123</v>
      </c>
    </row>
    <row r="33" spans="1:13" ht="12.2" customHeight="1" x14ac:dyDescent="0.3">
      <c r="A33" s="179" t="s">
        <v>214</v>
      </c>
      <c r="B33" s="182">
        <v>42674</v>
      </c>
      <c r="C33" s="182">
        <v>46248</v>
      </c>
      <c r="D33" s="182">
        <v>73136</v>
      </c>
      <c r="E33" s="182">
        <v>91534</v>
      </c>
      <c r="F33" s="182">
        <v>78210</v>
      </c>
      <c r="G33" s="182">
        <v>97695</v>
      </c>
      <c r="H33" s="182">
        <v>67183</v>
      </c>
      <c r="I33" s="182">
        <v>81003</v>
      </c>
      <c r="J33" s="182">
        <v>77578</v>
      </c>
      <c r="K33" s="182">
        <v>33053</v>
      </c>
      <c r="L33" s="182">
        <v>30033</v>
      </c>
      <c r="M33" s="196">
        <v>41286</v>
      </c>
    </row>
    <row r="34" spans="1:13" ht="12.2" customHeight="1" x14ac:dyDescent="0.3">
      <c r="A34" s="179" t="s">
        <v>215</v>
      </c>
      <c r="B34" s="182">
        <v>-1283</v>
      </c>
      <c r="C34" s="182">
        <v>-2144</v>
      </c>
      <c r="D34" s="182">
        <v>-1890</v>
      </c>
      <c r="E34" s="182">
        <v>-2321</v>
      </c>
      <c r="F34" s="182">
        <v>-3378</v>
      </c>
      <c r="G34" s="182">
        <v>-4066</v>
      </c>
      <c r="H34" s="182">
        <v>-5774</v>
      </c>
      <c r="I34" s="182">
        <v>-6063</v>
      </c>
      <c r="J34" s="182">
        <v>-4829</v>
      </c>
      <c r="K34" s="182">
        <v>-8970</v>
      </c>
      <c r="L34" s="182">
        <v>-11586</v>
      </c>
      <c r="M34" s="196">
        <v>-12230</v>
      </c>
    </row>
    <row r="35" spans="1:13" ht="12.2" customHeight="1" x14ac:dyDescent="0.3">
      <c r="A35" s="179" t="s">
        <v>216</v>
      </c>
      <c r="B35" s="182">
        <v>403</v>
      </c>
      <c r="C35" s="182">
        <v>1401</v>
      </c>
      <c r="D35" s="182">
        <v>2074</v>
      </c>
      <c r="E35" s="182">
        <v>242</v>
      </c>
      <c r="F35" s="182">
        <v>594</v>
      </c>
      <c r="G35" s="182">
        <v>2777</v>
      </c>
      <c r="H35" s="182">
        <v>2067</v>
      </c>
      <c r="I35" s="182">
        <v>3170</v>
      </c>
      <c r="J35" s="182">
        <v>2180</v>
      </c>
      <c r="K35" s="182">
        <v>407</v>
      </c>
      <c r="L35" s="182">
        <v>139</v>
      </c>
      <c r="M35" s="196">
        <v>408</v>
      </c>
    </row>
    <row r="36" spans="1:13" ht="12.2" customHeight="1" x14ac:dyDescent="0.3">
      <c r="A36" s="179" t="s">
        <v>217</v>
      </c>
      <c r="B36" s="182">
        <v>3908</v>
      </c>
      <c r="C36" s="182">
        <v>4659</v>
      </c>
      <c r="D36" s="182">
        <v>4144</v>
      </c>
      <c r="E36" s="182">
        <v>3716</v>
      </c>
      <c r="F36" s="182">
        <v>4606</v>
      </c>
      <c r="G36" s="182">
        <v>4711</v>
      </c>
      <c r="H36" s="182">
        <v>5233</v>
      </c>
      <c r="I36" s="182">
        <v>6351</v>
      </c>
      <c r="J36" s="182">
        <v>5869</v>
      </c>
      <c r="K36" s="182">
        <v>4391</v>
      </c>
      <c r="L36" s="182">
        <v>4057</v>
      </c>
      <c r="M36" s="196">
        <v>3975</v>
      </c>
    </row>
    <row r="37" spans="1:13" ht="12.2" customHeight="1" x14ac:dyDescent="0.3">
      <c r="A37" s="179" t="s">
        <v>218</v>
      </c>
      <c r="B37" s="182">
        <v>11713</v>
      </c>
      <c r="C37" s="182">
        <v>5711</v>
      </c>
      <c r="D37" s="182">
        <v>4644</v>
      </c>
      <c r="E37" s="182">
        <v>6103</v>
      </c>
      <c r="F37" s="182">
        <v>6483</v>
      </c>
      <c r="G37" s="182">
        <v>9334</v>
      </c>
      <c r="H37" s="182">
        <v>5465</v>
      </c>
      <c r="I37" s="182">
        <v>4519</v>
      </c>
      <c r="J37" s="182">
        <v>7097</v>
      </c>
      <c r="K37" s="182">
        <v>3163</v>
      </c>
      <c r="L37" s="182">
        <v>4466</v>
      </c>
      <c r="M37" s="196">
        <v>3385</v>
      </c>
    </row>
    <row r="38" spans="1:13" ht="12.2" customHeight="1" x14ac:dyDescent="0.3">
      <c r="A38" s="179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96"/>
    </row>
    <row r="39" spans="1:13" ht="12.2" customHeight="1" x14ac:dyDescent="0.3">
      <c r="A39" s="184" t="s">
        <v>276</v>
      </c>
      <c r="B39" s="182">
        <v>-4384</v>
      </c>
      <c r="C39" s="182">
        <v>-21111</v>
      </c>
      <c r="D39" s="182">
        <v>-32950</v>
      </c>
      <c r="E39" s="182">
        <v>-863</v>
      </c>
      <c r="F39" s="182">
        <v>16006</v>
      </c>
      <c r="G39" s="182">
        <v>59797</v>
      </c>
      <c r="H39" s="182">
        <v>82741</v>
      </c>
      <c r="I39" s="182">
        <v>87775</v>
      </c>
      <c r="J39" s="182">
        <v>55697</v>
      </c>
      <c r="K39" s="182">
        <v>36643</v>
      </c>
      <c r="L39" s="182">
        <v>46869</v>
      </c>
      <c r="M39" s="196">
        <v>45169</v>
      </c>
    </row>
    <row r="40" spans="1:13" ht="12.2" customHeight="1" x14ac:dyDescent="0.3">
      <c r="A40" s="179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96"/>
    </row>
    <row r="41" spans="1:13" ht="12.2" customHeight="1" x14ac:dyDescent="0.3">
      <c r="A41" s="179" t="s">
        <v>212</v>
      </c>
      <c r="B41" s="182">
        <v>6744</v>
      </c>
      <c r="C41" s="182">
        <v>-2307</v>
      </c>
      <c r="D41" s="182">
        <v>-5260</v>
      </c>
      <c r="E41" s="182">
        <v>16343</v>
      </c>
      <c r="F41" s="182">
        <v>30523</v>
      </c>
      <c r="G41" s="182">
        <v>52990</v>
      </c>
      <c r="H41" s="182">
        <v>63500</v>
      </c>
      <c r="I41" s="182">
        <v>70807</v>
      </c>
      <c r="J41" s="182">
        <v>60269</v>
      </c>
      <c r="K41" s="182">
        <v>56762</v>
      </c>
      <c r="L41" s="182">
        <v>56230</v>
      </c>
      <c r="M41" s="196">
        <v>54663</v>
      </c>
    </row>
    <row r="42" spans="1:13" ht="12.2" customHeight="1" x14ac:dyDescent="0.3">
      <c r="A42" s="179" t="s">
        <v>213</v>
      </c>
      <c r="B42" s="182">
        <v>-23900</v>
      </c>
      <c r="C42" s="182">
        <v>-25150</v>
      </c>
      <c r="D42" s="182">
        <v>-25530</v>
      </c>
      <c r="E42" s="182">
        <v>-22265</v>
      </c>
      <c r="F42" s="182">
        <v>-18623</v>
      </c>
      <c r="G42" s="182">
        <v>-10657</v>
      </c>
      <c r="H42" s="182">
        <v>-7788</v>
      </c>
      <c r="I42" s="182">
        <v>-5856</v>
      </c>
      <c r="J42" s="182">
        <v>-13526</v>
      </c>
      <c r="K42" s="182">
        <v>-22186</v>
      </c>
      <c r="L42" s="182">
        <v>-17269</v>
      </c>
      <c r="M42" s="196">
        <v>-15511</v>
      </c>
    </row>
    <row r="43" spans="1:13" ht="12.2" customHeight="1" x14ac:dyDescent="0.3">
      <c r="A43" s="179" t="s">
        <v>214</v>
      </c>
      <c r="B43" s="182">
        <v>8699</v>
      </c>
      <c r="C43" s="182">
        <v>9059</v>
      </c>
      <c r="D43" s="182">
        <v>3367</v>
      </c>
      <c r="E43" s="182">
        <v>4871</v>
      </c>
      <c r="F43" s="182">
        <v>2235</v>
      </c>
      <c r="G43" s="182">
        <v>8218</v>
      </c>
      <c r="H43" s="182">
        <v>12340</v>
      </c>
      <c r="I43" s="182">
        <v>5153</v>
      </c>
      <c r="J43" s="182">
        <v>-2755</v>
      </c>
      <c r="K43" s="182">
        <v>-7656</v>
      </c>
      <c r="L43" s="182">
        <v>-4184</v>
      </c>
      <c r="M43" s="196">
        <v>-4125</v>
      </c>
    </row>
    <row r="44" spans="1:13" ht="12.2" customHeight="1" x14ac:dyDescent="0.3">
      <c r="A44" s="179" t="s">
        <v>215</v>
      </c>
      <c r="B44" s="182">
        <v>12069</v>
      </c>
      <c r="C44" s="182">
        <v>14565</v>
      </c>
      <c r="D44" s="182">
        <v>12797</v>
      </c>
      <c r="E44" s="182">
        <v>15994</v>
      </c>
      <c r="F44" s="182">
        <v>16026</v>
      </c>
      <c r="G44" s="182">
        <v>18099</v>
      </c>
      <c r="H44" s="182">
        <v>21184</v>
      </c>
      <c r="I44" s="182">
        <v>26744</v>
      </c>
      <c r="J44" s="182">
        <v>24142</v>
      </c>
      <c r="K44" s="182">
        <v>22600</v>
      </c>
      <c r="L44" s="182">
        <v>20013</v>
      </c>
      <c r="M44" s="196">
        <v>18031</v>
      </c>
    </row>
    <row r="45" spans="1:13" ht="12.2" customHeight="1" x14ac:dyDescent="0.3">
      <c r="A45" s="179" t="s">
        <v>216</v>
      </c>
      <c r="B45" s="182">
        <v>-635</v>
      </c>
      <c r="C45" s="182">
        <v>-1025</v>
      </c>
      <c r="D45" s="182">
        <v>-1238</v>
      </c>
      <c r="E45" s="182">
        <v>-1070</v>
      </c>
      <c r="F45" s="182">
        <v>-1200</v>
      </c>
      <c r="G45" s="182">
        <v>273</v>
      </c>
      <c r="H45" s="182">
        <v>2136</v>
      </c>
      <c r="I45" s="182">
        <v>2844</v>
      </c>
      <c r="J45" s="182">
        <v>1508</v>
      </c>
      <c r="K45" s="182">
        <v>1583</v>
      </c>
      <c r="L45" s="182">
        <v>2632</v>
      </c>
      <c r="M45" s="196">
        <v>2936</v>
      </c>
    </row>
    <row r="46" spans="1:13" ht="12.2" customHeight="1" x14ac:dyDescent="0.3">
      <c r="A46" s="179" t="s">
        <v>217</v>
      </c>
      <c r="B46" s="182">
        <v>-9280</v>
      </c>
      <c r="C46" s="182">
        <v>-10762</v>
      </c>
      <c r="D46" s="182">
        <v>-11158</v>
      </c>
      <c r="E46" s="182">
        <v>-10576</v>
      </c>
      <c r="F46" s="182">
        <v>-11397</v>
      </c>
      <c r="G46" s="182">
        <v>-10318</v>
      </c>
      <c r="H46" s="182">
        <v>-10575</v>
      </c>
      <c r="I46" s="182">
        <v>-12695</v>
      </c>
      <c r="J46" s="182">
        <v>-14162</v>
      </c>
      <c r="K46" s="182">
        <v>-13031</v>
      </c>
      <c r="L46" s="182">
        <v>-10597</v>
      </c>
      <c r="M46" s="196">
        <v>-10154</v>
      </c>
    </row>
    <row r="47" spans="1:13" ht="12.2" customHeight="1" x14ac:dyDescent="0.3">
      <c r="A47" s="179" t="s">
        <v>218</v>
      </c>
      <c r="B47" s="182">
        <v>1919</v>
      </c>
      <c r="C47" s="182">
        <v>-5491</v>
      </c>
      <c r="D47" s="182">
        <v>-5928</v>
      </c>
      <c r="E47" s="182">
        <v>-4160</v>
      </c>
      <c r="F47" s="182">
        <v>-1558</v>
      </c>
      <c r="G47" s="182">
        <v>1192</v>
      </c>
      <c r="H47" s="182">
        <v>1944</v>
      </c>
      <c r="I47" s="182">
        <v>778</v>
      </c>
      <c r="J47" s="182">
        <v>221</v>
      </c>
      <c r="K47" s="182">
        <v>-1429</v>
      </c>
      <c r="L47" s="182">
        <v>44</v>
      </c>
      <c r="M47" s="196">
        <v>-671</v>
      </c>
    </row>
    <row r="48" spans="1:13" ht="12.2" customHeight="1" x14ac:dyDescent="0.3">
      <c r="A48" s="179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96"/>
    </row>
    <row r="49" spans="1:13" ht="12.2" customHeight="1" x14ac:dyDescent="0.3">
      <c r="A49" s="183" t="s">
        <v>228</v>
      </c>
      <c r="B49" s="182">
        <v>8194</v>
      </c>
      <c r="C49" s="182">
        <v>4085</v>
      </c>
      <c r="D49" s="182">
        <v>-6131</v>
      </c>
      <c r="E49" s="182">
        <v>7405</v>
      </c>
      <c r="F49" s="182">
        <v>17456</v>
      </c>
      <c r="G49" s="182">
        <v>33804</v>
      </c>
      <c r="H49" s="182">
        <v>46177</v>
      </c>
      <c r="I49" s="182">
        <v>46108</v>
      </c>
      <c r="J49" s="182">
        <v>29180</v>
      </c>
      <c r="K49" s="182">
        <v>36394</v>
      </c>
      <c r="L49" s="182">
        <v>34292</v>
      </c>
      <c r="M49" s="196">
        <v>30099</v>
      </c>
    </row>
    <row r="50" spans="1:13" ht="12.2" customHeight="1" x14ac:dyDescent="0.3">
      <c r="A50" s="179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96"/>
    </row>
    <row r="51" spans="1:13" ht="12.2" customHeight="1" x14ac:dyDescent="0.3">
      <c r="A51" s="179" t="s">
        <v>212</v>
      </c>
      <c r="B51" s="182">
        <v>10970</v>
      </c>
      <c r="C51" s="182">
        <v>10177</v>
      </c>
      <c r="D51" s="182">
        <v>7429</v>
      </c>
      <c r="E51" s="182">
        <v>16169</v>
      </c>
      <c r="F51" s="182">
        <v>21941</v>
      </c>
      <c r="G51" s="182">
        <v>31213</v>
      </c>
      <c r="H51" s="182">
        <v>37695</v>
      </c>
      <c r="I51" s="182">
        <v>39125</v>
      </c>
      <c r="J51" s="182">
        <v>32775</v>
      </c>
      <c r="K51" s="182">
        <v>36510</v>
      </c>
      <c r="L51" s="182">
        <v>34746</v>
      </c>
      <c r="M51" s="196">
        <v>32384</v>
      </c>
    </row>
    <row r="52" spans="1:13" ht="12.2" customHeight="1" x14ac:dyDescent="0.3">
      <c r="A52" s="179" t="s">
        <v>213</v>
      </c>
      <c r="B52" s="182">
        <v>-17058</v>
      </c>
      <c r="C52" s="182">
        <v>-19259</v>
      </c>
      <c r="D52" s="182">
        <v>-21083</v>
      </c>
      <c r="E52" s="182">
        <v>-20509</v>
      </c>
      <c r="F52" s="182">
        <v>-17352</v>
      </c>
      <c r="G52" s="182">
        <v>-14259</v>
      </c>
      <c r="H52" s="182">
        <v>-12392</v>
      </c>
      <c r="I52" s="182">
        <v>-12723</v>
      </c>
      <c r="J52" s="182">
        <v>-16124</v>
      </c>
      <c r="K52" s="182">
        <v>-15674</v>
      </c>
      <c r="L52" s="182">
        <v>-15871</v>
      </c>
      <c r="M52" s="196">
        <v>-17052</v>
      </c>
    </row>
    <row r="53" spans="1:13" ht="12.2" customHeight="1" x14ac:dyDescent="0.3">
      <c r="A53" s="179" t="s">
        <v>214</v>
      </c>
      <c r="B53" s="182">
        <v>6320</v>
      </c>
      <c r="C53" s="182">
        <v>6868</v>
      </c>
      <c r="D53" s="182">
        <v>1951</v>
      </c>
      <c r="E53" s="182">
        <v>2782</v>
      </c>
      <c r="F53" s="182">
        <v>2067</v>
      </c>
      <c r="G53" s="182">
        <v>2546</v>
      </c>
      <c r="H53" s="182">
        <v>2906</v>
      </c>
      <c r="I53" s="182">
        <v>478</v>
      </c>
      <c r="J53" s="182">
        <v>-2771</v>
      </c>
      <c r="K53" s="182">
        <v>-2386</v>
      </c>
      <c r="L53" s="182">
        <v>-2227</v>
      </c>
      <c r="M53" s="196">
        <v>-3016</v>
      </c>
    </row>
    <row r="54" spans="1:13" ht="12.2" customHeight="1" x14ac:dyDescent="0.3">
      <c r="A54" s="179" t="s">
        <v>215</v>
      </c>
      <c r="B54" s="182">
        <v>12115</v>
      </c>
      <c r="C54" s="182">
        <v>14776</v>
      </c>
      <c r="D54" s="182">
        <v>13431</v>
      </c>
      <c r="E54" s="182">
        <v>15110</v>
      </c>
      <c r="F54" s="182">
        <v>15944</v>
      </c>
      <c r="G54" s="182">
        <v>17066</v>
      </c>
      <c r="H54" s="182">
        <v>19656</v>
      </c>
      <c r="I54" s="182">
        <v>21981</v>
      </c>
      <c r="J54" s="182">
        <v>19350</v>
      </c>
      <c r="K54" s="182">
        <v>21656</v>
      </c>
      <c r="L54" s="182">
        <v>20653</v>
      </c>
      <c r="M54" s="196">
        <v>20182</v>
      </c>
    </row>
    <row r="55" spans="1:13" ht="12.2" customHeight="1" x14ac:dyDescent="0.3">
      <c r="A55" s="179" t="s">
        <v>216</v>
      </c>
      <c r="B55" s="182">
        <v>142</v>
      </c>
      <c r="C55" s="182">
        <v>179</v>
      </c>
      <c r="D55" s="182">
        <v>-321</v>
      </c>
      <c r="E55" s="182">
        <v>2</v>
      </c>
      <c r="F55" s="182">
        <v>-78</v>
      </c>
      <c r="G55" s="182">
        <v>557</v>
      </c>
      <c r="H55" s="182">
        <v>1515</v>
      </c>
      <c r="I55" s="182">
        <v>1720</v>
      </c>
      <c r="J55" s="182">
        <v>1360</v>
      </c>
      <c r="K55" s="182">
        <v>1535</v>
      </c>
      <c r="L55" s="182">
        <v>1613</v>
      </c>
      <c r="M55" s="196">
        <v>1856</v>
      </c>
    </row>
    <row r="56" spans="1:13" ht="12.2" customHeight="1" x14ac:dyDescent="0.3">
      <c r="A56" s="179" t="s">
        <v>217</v>
      </c>
      <c r="B56" s="182">
        <v>-4199</v>
      </c>
      <c r="C56" s="182">
        <v>-4699</v>
      </c>
      <c r="D56" s="182">
        <v>-4774</v>
      </c>
      <c r="E56" s="182">
        <v>-4540</v>
      </c>
      <c r="F56" s="182">
        <v>-4873</v>
      </c>
      <c r="G56" s="182">
        <v>-4468</v>
      </c>
      <c r="H56" s="182">
        <v>-4704</v>
      </c>
      <c r="I56" s="182">
        <v>-5559</v>
      </c>
      <c r="J56" s="182">
        <v>-6032</v>
      </c>
      <c r="K56" s="182">
        <v>-5299</v>
      </c>
      <c r="L56" s="182">
        <v>-4393</v>
      </c>
      <c r="M56" s="196">
        <v>-4158</v>
      </c>
    </row>
    <row r="57" spans="1:13" ht="12.2" customHeight="1" x14ac:dyDescent="0.3">
      <c r="A57" s="179" t="s">
        <v>218</v>
      </c>
      <c r="B57" s="182">
        <v>-96</v>
      </c>
      <c r="C57" s="182">
        <v>-3957</v>
      </c>
      <c r="D57" s="182">
        <v>-2764</v>
      </c>
      <c r="E57" s="182">
        <v>-1609</v>
      </c>
      <c r="F57" s="182">
        <v>-193</v>
      </c>
      <c r="G57" s="182">
        <v>1149</v>
      </c>
      <c r="H57" s="182">
        <v>1501</v>
      </c>
      <c r="I57" s="182">
        <v>1086</v>
      </c>
      <c r="J57" s="182">
        <v>622</v>
      </c>
      <c r="K57" s="182">
        <v>52</v>
      </c>
      <c r="L57" s="182">
        <v>-229</v>
      </c>
      <c r="M57" s="196">
        <v>-97</v>
      </c>
    </row>
    <row r="58" spans="1:13" ht="12.2" customHeight="1" x14ac:dyDescent="0.3">
      <c r="A58" s="179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96"/>
    </row>
    <row r="59" spans="1:13" ht="12.2" customHeight="1" x14ac:dyDescent="0.3">
      <c r="A59" s="183" t="s">
        <v>229</v>
      </c>
      <c r="B59" s="182">
        <v>-3520</v>
      </c>
      <c r="C59" s="182">
        <v>-5159</v>
      </c>
      <c r="D59" s="182">
        <v>-6967</v>
      </c>
      <c r="E59" s="182">
        <v>-4582</v>
      </c>
      <c r="F59" s="182">
        <v>-3586</v>
      </c>
      <c r="G59" s="182">
        <v>686</v>
      </c>
      <c r="H59" s="182">
        <v>2047</v>
      </c>
      <c r="I59" s="182">
        <v>-426</v>
      </c>
      <c r="J59" s="182">
        <v>-1318</v>
      </c>
      <c r="K59" s="182">
        <v>-497</v>
      </c>
      <c r="L59" s="182">
        <v>3071</v>
      </c>
      <c r="M59" s="196">
        <v>3470</v>
      </c>
    </row>
    <row r="60" spans="1:13" ht="12.2" customHeight="1" x14ac:dyDescent="0.3">
      <c r="A60" s="179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96"/>
    </row>
    <row r="61" spans="1:13" ht="12.2" customHeight="1" x14ac:dyDescent="0.3">
      <c r="A61" s="179" t="s">
        <v>212</v>
      </c>
      <c r="B61" s="182">
        <v>-3872</v>
      </c>
      <c r="C61" s="182">
        <v>-4457</v>
      </c>
      <c r="D61" s="182">
        <v>-4608</v>
      </c>
      <c r="E61" s="182">
        <v>-2677</v>
      </c>
      <c r="F61" s="182">
        <v>-1063</v>
      </c>
      <c r="G61" s="182">
        <v>1075</v>
      </c>
      <c r="H61" s="182">
        <v>1931</v>
      </c>
      <c r="I61" s="182">
        <v>1025</v>
      </c>
      <c r="J61" s="182">
        <v>701</v>
      </c>
      <c r="K61" s="182">
        <v>1624</v>
      </c>
      <c r="L61" s="182">
        <v>3134</v>
      </c>
      <c r="M61" s="196">
        <v>3256</v>
      </c>
    </row>
    <row r="62" spans="1:13" ht="12.2" customHeight="1" x14ac:dyDescent="0.3">
      <c r="A62" s="179" t="s">
        <v>213</v>
      </c>
      <c r="B62" s="182">
        <v>-955</v>
      </c>
      <c r="C62" s="182">
        <v>-582</v>
      </c>
      <c r="D62" s="182">
        <v>-258</v>
      </c>
      <c r="E62" s="182">
        <v>-108</v>
      </c>
      <c r="F62" s="182">
        <v>-204</v>
      </c>
      <c r="G62" s="182">
        <v>708</v>
      </c>
      <c r="H62" s="182">
        <v>448</v>
      </c>
      <c r="I62" s="182">
        <v>-552</v>
      </c>
      <c r="J62" s="182">
        <v>-376</v>
      </c>
      <c r="K62" s="182">
        <v>-558</v>
      </c>
      <c r="L62" s="182">
        <v>241</v>
      </c>
      <c r="M62" s="196">
        <v>602</v>
      </c>
    </row>
    <row r="63" spans="1:13" ht="12.2" customHeight="1" x14ac:dyDescent="0.3">
      <c r="A63" s="179" t="s">
        <v>214</v>
      </c>
      <c r="B63" s="182">
        <v>920</v>
      </c>
      <c r="C63" s="182">
        <v>1798</v>
      </c>
      <c r="D63" s="182">
        <v>510</v>
      </c>
      <c r="E63" s="182">
        <v>679</v>
      </c>
      <c r="F63" s="182">
        <v>238</v>
      </c>
      <c r="G63" s="182">
        <v>829</v>
      </c>
      <c r="H63" s="182">
        <v>1351</v>
      </c>
      <c r="I63" s="182">
        <v>394</v>
      </c>
      <c r="J63" s="182">
        <v>-9</v>
      </c>
      <c r="K63" s="182">
        <v>74</v>
      </c>
      <c r="L63" s="182">
        <v>591</v>
      </c>
      <c r="M63" s="196">
        <v>452</v>
      </c>
    </row>
    <row r="64" spans="1:13" ht="12.2" customHeight="1" x14ac:dyDescent="0.3">
      <c r="A64" s="179" t="s">
        <v>215</v>
      </c>
      <c r="B64" s="182">
        <v>-818</v>
      </c>
      <c r="C64" s="182">
        <v>-1053</v>
      </c>
      <c r="D64" s="182">
        <v>-968</v>
      </c>
      <c r="E64" s="182">
        <v>-678</v>
      </c>
      <c r="F64" s="182">
        <v>-850</v>
      </c>
      <c r="G64" s="182">
        <v>-639</v>
      </c>
      <c r="H64" s="182">
        <v>-311</v>
      </c>
      <c r="I64" s="182">
        <v>148</v>
      </c>
      <c r="J64" s="182">
        <v>19</v>
      </c>
      <c r="K64" s="182">
        <v>-264</v>
      </c>
      <c r="L64" s="182">
        <v>-311</v>
      </c>
      <c r="M64" s="196">
        <v>-227</v>
      </c>
    </row>
    <row r="65" spans="1:13" ht="12.2" customHeight="1" x14ac:dyDescent="0.3">
      <c r="A65" s="179" t="s">
        <v>216</v>
      </c>
      <c r="B65" s="182">
        <v>-167</v>
      </c>
      <c r="C65" s="182">
        <v>-191</v>
      </c>
      <c r="D65" s="182">
        <v>-176</v>
      </c>
      <c r="E65" s="182">
        <v>-127</v>
      </c>
      <c r="F65" s="182">
        <v>-195</v>
      </c>
      <c r="G65" s="182">
        <v>-133</v>
      </c>
      <c r="H65" s="182">
        <v>52</v>
      </c>
      <c r="I65" s="182">
        <v>66</v>
      </c>
      <c r="J65" s="182">
        <v>106</v>
      </c>
      <c r="K65" s="182">
        <v>271</v>
      </c>
      <c r="L65" s="182">
        <v>320</v>
      </c>
      <c r="M65" s="196">
        <v>385</v>
      </c>
    </row>
    <row r="66" spans="1:13" ht="12.2" customHeight="1" x14ac:dyDescent="0.3">
      <c r="A66" s="179" t="s">
        <v>217</v>
      </c>
      <c r="B66" s="182">
        <v>-1038</v>
      </c>
      <c r="C66" s="182">
        <v>-1137</v>
      </c>
      <c r="D66" s="182">
        <v>-1232</v>
      </c>
      <c r="E66" s="182">
        <v>-1219</v>
      </c>
      <c r="F66" s="182">
        <v>-1255</v>
      </c>
      <c r="G66" s="182">
        <v>-1062</v>
      </c>
      <c r="H66" s="182">
        <v>-1210</v>
      </c>
      <c r="I66" s="182">
        <v>-1336</v>
      </c>
      <c r="J66" s="182">
        <v>-1472</v>
      </c>
      <c r="K66" s="182">
        <v>-1466</v>
      </c>
      <c r="L66" s="182">
        <v>-1028</v>
      </c>
      <c r="M66" s="196">
        <v>-1025</v>
      </c>
    </row>
    <row r="67" spans="1:13" ht="12.2" customHeight="1" x14ac:dyDescent="0.3">
      <c r="A67" s="179" t="s">
        <v>218</v>
      </c>
      <c r="B67" s="182">
        <v>2410</v>
      </c>
      <c r="C67" s="182">
        <v>463</v>
      </c>
      <c r="D67" s="182">
        <v>-235</v>
      </c>
      <c r="E67" s="182">
        <v>-452</v>
      </c>
      <c r="F67" s="182">
        <v>-257</v>
      </c>
      <c r="G67" s="182">
        <v>-92</v>
      </c>
      <c r="H67" s="182">
        <v>-214</v>
      </c>
      <c r="I67" s="182">
        <v>-171</v>
      </c>
      <c r="J67" s="182">
        <v>-287</v>
      </c>
      <c r="K67" s="182">
        <v>-178</v>
      </c>
      <c r="L67" s="182">
        <v>124</v>
      </c>
      <c r="M67" s="196">
        <v>27</v>
      </c>
    </row>
    <row r="68" spans="1:13" ht="12.2" customHeight="1" x14ac:dyDescent="0.3">
      <c r="A68" s="179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96"/>
    </row>
    <row r="69" spans="1:13" ht="12.2" customHeight="1" x14ac:dyDescent="0.3">
      <c r="A69" s="183" t="s">
        <v>230</v>
      </c>
      <c r="B69" s="182">
        <v>-9058</v>
      </c>
      <c r="C69" s="182">
        <v>-20037</v>
      </c>
      <c r="D69" s="182">
        <v>-19852</v>
      </c>
      <c r="E69" s="182">
        <v>-3686</v>
      </c>
      <c r="F69" s="182">
        <v>2136</v>
      </c>
      <c r="G69" s="182">
        <v>25307</v>
      </c>
      <c r="H69" s="182">
        <v>34517</v>
      </c>
      <c r="I69" s="182">
        <v>42093</v>
      </c>
      <c r="J69" s="182">
        <v>27835</v>
      </c>
      <c r="K69" s="182">
        <v>746</v>
      </c>
      <c r="L69" s="182">
        <v>9506</v>
      </c>
      <c r="M69" s="196">
        <v>11600</v>
      </c>
    </row>
    <row r="70" spans="1:13" ht="12.2" customHeight="1" x14ac:dyDescent="0.3">
      <c r="A70" s="179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</row>
    <row r="71" spans="1:13" ht="12.2" customHeight="1" x14ac:dyDescent="0.3">
      <c r="A71" s="179" t="s">
        <v>212</v>
      </c>
      <c r="B71" s="182">
        <v>-354</v>
      </c>
      <c r="C71" s="182">
        <v>-8027</v>
      </c>
      <c r="D71" s="182">
        <v>-8081</v>
      </c>
      <c r="E71" s="182">
        <v>2851</v>
      </c>
      <c r="F71" s="182">
        <v>9645</v>
      </c>
      <c r="G71" s="182">
        <v>20702</v>
      </c>
      <c r="H71" s="182">
        <v>23874</v>
      </c>
      <c r="I71" s="182">
        <v>30657</v>
      </c>
      <c r="J71" s="182">
        <v>26793</v>
      </c>
      <c r="K71" s="182">
        <v>18628</v>
      </c>
      <c r="L71" s="182">
        <v>18350</v>
      </c>
      <c r="M71" s="196">
        <v>19023</v>
      </c>
    </row>
    <row r="72" spans="1:13" ht="12.2" customHeight="1" x14ac:dyDescent="0.3">
      <c r="A72" s="179" t="s">
        <v>213</v>
      </c>
      <c r="B72" s="182">
        <v>-5887</v>
      </c>
      <c r="C72" s="182">
        <v>-5309</v>
      </c>
      <c r="D72" s="182">
        <v>-4189</v>
      </c>
      <c r="E72" s="182">
        <v>-1648</v>
      </c>
      <c r="F72" s="182">
        <v>-1067</v>
      </c>
      <c r="G72" s="182">
        <v>2894</v>
      </c>
      <c r="H72" s="182">
        <v>4156</v>
      </c>
      <c r="I72" s="182">
        <v>7419</v>
      </c>
      <c r="J72" s="182">
        <v>2974</v>
      </c>
      <c r="K72" s="182">
        <v>-5954</v>
      </c>
      <c r="L72" s="182">
        <v>-1639</v>
      </c>
      <c r="M72" s="196">
        <v>939</v>
      </c>
    </row>
    <row r="73" spans="1:13" ht="12.2" customHeight="1" x14ac:dyDescent="0.3">
      <c r="A73" s="179" t="s">
        <v>214</v>
      </c>
      <c r="B73" s="182">
        <v>1459</v>
      </c>
      <c r="C73" s="182">
        <v>393</v>
      </c>
      <c r="D73" s="182">
        <v>906</v>
      </c>
      <c r="E73" s="182">
        <v>1410</v>
      </c>
      <c r="F73" s="182">
        <v>-70</v>
      </c>
      <c r="G73" s="182">
        <v>4843</v>
      </c>
      <c r="H73" s="182">
        <v>8083</v>
      </c>
      <c r="I73" s="182">
        <v>4281</v>
      </c>
      <c r="J73" s="182">
        <v>25</v>
      </c>
      <c r="K73" s="182">
        <v>-5344</v>
      </c>
      <c r="L73" s="182">
        <v>-2548</v>
      </c>
      <c r="M73" s="196">
        <v>-1561</v>
      </c>
    </row>
    <row r="74" spans="1:13" ht="12.2" customHeight="1" x14ac:dyDescent="0.3">
      <c r="A74" s="179" t="s">
        <v>215</v>
      </c>
      <c r="B74" s="182">
        <v>772</v>
      </c>
      <c r="C74" s="182">
        <v>842</v>
      </c>
      <c r="D74" s="182">
        <v>334</v>
      </c>
      <c r="E74" s="182">
        <v>1562</v>
      </c>
      <c r="F74" s="182">
        <v>932</v>
      </c>
      <c r="G74" s="182">
        <v>1672</v>
      </c>
      <c r="H74" s="182">
        <v>1839</v>
      </c>
      <c r="I74" s="182">
        <v>4615</v>
      </c>
      <c r="J74" s="182">
        <v>4773</v>
      </c>
      <c r="K74" s="182">
        <v>1208</v>
      </c>
      <c r="L74" s="182">
        <v>-329</v>
      </c>
      <c r="M74" s="196">
        <v>-1924</v>
      </c>
    </row>
    <row r="75" spans="1:13" ht="12.2" customHeight="1" x14ac:dyDescent="0.3">
      <c r="A75" s="179" t="s">
        <v>216</v>
      </c>
      <c r="B75" s="182">
        <v>-610</v>
      </c>
      <c r="C75" s="182">
        <v>-1013</v>
      </c>
      <c r="D75" s="182">
        <v>-741</v>
      </c>
      <c r="E75" s="182">
        <v>-945</v>
      </c>
      <c r="F75" s="182">
        <v>-927</v>
      </c>
      <c r="G75" s="182">
        <v>-151</v>
      </c>
      <c r="H75" s="182">
        <v>569</v>
      </c>
      <c r="I75" s="182">
        <v>1058</v>
      </c>
      <c r="J75" s="182">
        <v>42</v>
      </c>
      <c r="K75" s="182">
        <v>-223</v>
      </c>
      <c r="L75" s="182">
        <v>699</v>
      </c>
      <c r="M75" s="196">
        <v>695</v>
      </c>
    </row>
    <row r="76" spans="1:13" ht="12.2" customHeight="1" x14ac:dyDescent="0.3">
      <c r="A76" s="179" t="s">
        <v>217</v>
      </c>
      <c r="B76" s="182">
        <v>-4043</v>
      </c>
      <c r="C76" s="182">
        <v>-4926</v>
      </c>
      <c r="D76" s="182">
        <v>-5152</v>
      </c>
      <c r="E76" s="182">
        <v>-4817</v>
      </c>
      <c r="F76" s="182">
        <v>-5269</v>
      </c>
      <c r="G76" s="182">
        <v>-4788</v>
      </c>
      <c r="H76" s="182">
        <v>-4661</v>
      </c>
      <c r="I76" s="182">
        <v>-5800</v>
      </c>
      <c r="J76" s="182">
        <v>-6658</v>
      </c>
      <c r="K76" s="182">
        <v>-6266</v>
      </c>
      <c r="L76" s="182">
        <v>-5176</v>
      </c>
      <c r="M76" s="196">
        <v>-4971</v>
      </c>
    </row>
    <row r="77" spans="1:13" ht="12.2" customHeight="1" x14ac:dyDescent="0.3">
      <c r="A77" s="179" t="s">
        <v>218</v>
      </c>
      <c r="B77" s="182">
        <v>-395</v>
      </c>
      <c r="C77" s="182">
        <v>-1997</v>
      </c>
      <c r="D77" s="182">
        <v>-2929</v>
      </c>
      <c r="E77" s="182">
        <v>-2099</v>
      </c>
      <c r="F77" s="182">
        <v>-1108</v>
      </c>
      <c r="G77" s="182">
        <v>135</v>
      </c>
      <c r="H77" s="182">
        <v>657</v>
      </c>
      <c r="I77" s="182">
        <v>-137</v>
      </c>
      <c r="J77" s="182">
        <v>-114</v>
      </c>
      <c r="K77" s="182">
        <v>-1303</v>
      </c>
      <c r="L77" s="182">
        <v>149</v>
      </c>
      <c r="M77" s="196">
        <v>-601</v>
      </c>
    </row>
    <row r="78" spans="1:13" ht="9.9499999999999993" customHeight="1" thickBot="1" x14ac:dyDescent="0.35">
      <c r="A78" s="181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</row>
  </sheetData>
  <mergeCells count="2">
    <mergeCell ref="A3:A5"/>
    <mergeCell ref="A1:M1"/>
  </mergeCells>
  <phoneticPr fontId="1" type="noConversion"/>
  <conditionalFormatting sqref="B7:M77">
    <cfRule type="cellIs" dxfId="2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9"/>
  <sheetViews>
    <sheetView showGridLines="0" view="pageBreakPreview" zoomScale="115" zoomScaleNormal="115" zoomScaleSheetLayoutView="115" workbookViewId="0">
      <selection sqref="A1:K1"/>
    </sheetView>
  </sheetViews>
  <sheetFormatPr defaultRowHeight="16.5" x14ac:dyDescent="0.3"/>
  <cols>
    <col min="1" max="1" width="13.875" style="178" bestFit="1" customWidth="1"/>
    <col min="2" max="11" width="7.875" style="172" customWidth="1"/>
    <col min="12" max="22" width="7.125" style="172" customWidth="1"/>
    <col min="23" max="23" width="13.875" style="178" bestFit="1" customWidth="1"/>
    <col min="24" max="16384" width="9" style="172"/>
  </cols>
  <sheetData>
    <row r="1" spans="1:23" s="210" customFormat="1" ht="25.5" customHeight="1" x14ac:dyDescent="0.3">
      <c r="A1" s="287" t="s">
        <v>317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8" t="s">
        <v>292</v>
      </c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</row>
    <row r="2" spans="1:23" ht="12.75" customHeight="1" thickBot="1" x14ac:dyDescent="0.35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5" t="s">
        <v>23</v>
      </c>
    </row>
    <row r="3" spans="1:23" ht="12.75" customHeight="1" x14ac:dyDescent="0.3">
      <c r="A3" s="276" t="s">
        <v>305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2"/>
      <c r="U3" s="163"/>
      <c r="V3" s="162"/>
      <c r="W3" s="273" t="s">
        <v>306</v>
      </c>
    </row>
    <row r="4" spans="1:23" s="199" customFormat="1" ht="12.75" customHeight="1" x14ac:dyDescent="0.3">
      <c r="A4" s="277"/>
      <c r="B4" s="164">
        <v>2004</v>
      </c>
      <c r="C4" s="164">
        <v>2005</v>
      </c>
      <c r="D4" s="164">
        <v>2006</v>
      </c>
      <c r="E4" s="164">
        <v>2007</v>
      </c>
      <c r="F4" s="164">
        <v>2008</v>
      </c>
      <c r="G4" s="164">
        <v>2009</v>
      </c>
      <c r="H4" s="164">
        <v>2010</v>
      </c>
      <c r="I4" s="164">
        <v>2011</v>
      </c>
      <c r="J4" s="164">
        <f t="shared" ref="J4:O4" si="0">K4-1</f>
        <v>2012</v>
      </c>
      <c r="K4" s="164">
        <f t="shared" si="0"/>
        <v>2013</v>
      </c>
      <c r="L4" s="164">
        <f t="shared" si="0"/>
        <v>2014</v>
      </c>
      <c r="M4" s="164">
        <f t="shared" si="0"/>
        <v>2015</v>
      </c>
      <c r="N4" s="164">
        <f t="shared" si="0"/>
        <v>2016</v>
      </c>
      <c r="O4" s="164">
        <f t="shared" si="0"/>
        <v>2017</v>
      </c>
      <c r="P4" s="164">
        <v>2018</v>
      </c>
      <c r="Q4" s="164">
        <v>2019</v>
      </c>
      <c r="R4" s="164">
        <v>2020</v>
      </c>
      <c r="S4" s="164">
        <v>2021</v>
      </c>
      <c r="T4" s="147">
        <v>2022</v>
      </c>
      <c r="U4" s="164">
        <v>2023</v>
      </c>
      <c r="V4" s="146">
        <v>2024</v>
      </c>
      <c r="W4" s="274"/>
    </row>
    <row r="5" spans="1:23" s="199" customFormat="1" ht="12.75" customHeight="1" x14ac:dyDescent="0.3">
      <c r="A5" s="278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65"/>
      <c r="V5" s="161"/>
      <c r="W5" s="275"/>
    </row>
    <row r="6" spans="1:23" s="199" customFormat="1" ht="11.1" customHeight="1" x14ac:dyDescent="0.3">
      <c r="A6" s="214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9"/>
    </row>
    <row r="7" spans="1:23" s="199" customFormat="1" ht="12" customHeight="1" x14ac:dyDescent="0.3">
      <c r="A7" s="234" t="s">
        <v>293</v>
      </c>
      <c r="B7" s="205">
        <v>-112897</v>
      </c>
      <c r="C7" s="205">
        <v>-109069</v>
      </c>
      <c r="D7" s="205">
        <v>-96947</v>
      </c>
      <c r="E7" s="205">
        <v>-104705</v>
      </c>
      <c r="F7" s="205">
        <v>-98907</v>
      </c>
      <c r="G7" s="205">
        <v>-86864</v>
      </c>
      <c r="H7" s="205">
        <v>-135184</v>
      </c>
      <c r="I7" s="205">
        <v>-119997</v>
      </c>
      <c r="J7" s="205">
        <v>-117384</v>
      </c>
      <c r="K7" s="205">
        <v>-108744</v>
      </c>
      <c r="L7" s="205">
        <v>-91916</v>
      </c>
      <c r="M7" s="205">
        <v>-131125</v>
      </c>
      <c r="N7" s="205">
        <v>-147662</v>
      </c>
      <c r="O7" s="205">
        <v>-115942</v>
      </c>
      <c r="P7" s="205">
        <v>-144034</v>
      </c>
      <c r="Q7" s="205">
        <v>-95765</v>
      </c>
      <c r="R7" s="205">
        <v>-110958</v>
      </c>
      <c r="S7" s="205">
        <v>-135423</v>
      </c>
      <c r="T7" s="205">
        <v>-71734</v>
      </c>
      <c r="U7" s="205">
        <v>-65542</v>
      </c>
      <c r="V7" s="205">
        <v>-74791</v>
      </c>
      <c r="W7" s="235" t="s">
        <v>293</v>
      </c>
    </row>
    <row r="8" spans="1:23" s="199" customFormat="1" ht="12" customHeight="1" x14ac:dyDescent="0.3">
      <c r="A8" s="214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9"/>
    </row>
    <row r="9" spans="1:23" s="199" customFormat="1" ht="12" customHeight="1" x14ac:dyDescent="0.3">
      <c r="A9" s="214" t="s">
        <v>11</v>
      </c>
      <c r="B9" s="206">
        <v>-10103</v>
      </c>
      <c r="C9" s="205">
        <v>-11121</v>
      </c>
      <c r="D9" s="206">
        <v>-11084</v>
      </c>
      <c r="E9" s="205">
        <v>-11633</v>
      </c>
      <c r="F9" s="206">
        <v>-10895</v>
      </c>
      <c r="G9" s="205">
        <v>-10226</v>
      </c>
      <c r="H9" s="205">
        <v>-14442</v>
      </c>
      <c r="I9" s="205">
        <v>-12937</v>
      </c>
      <c r="J9" s="205">
        <v>-11854</v>
      </c>
      <c r="K9" s="205">
        <v>-11566</v>
      </c>
      <c r="L9" s="205">
        <v>-9997</v>
      </c>
      <c r="M9" s="205">
        <v>-12648</v>
      </c>
      <c r="N9" s="205">
        <v>-13985</v>
      </c>
      <c r="O9" s="205">
        <v>-11509</v>
      </c>
      <c r="P9" s="205">
        <v>-14306</v>
      </c>
      <c r="Q9" s="205">
        <v>-8956</v>
      </c>
      <c r="R9" s="205">
        <v>-8073</v>
      </c>
      <c r="S9" s="205">
        <v>-8325</v>
      </c>
      <c r="T9" s="205">
        <v>-6219</v>
      </c>
      <c r="U9" s="205">
        <v>-5823</v>
      </c>
      <c r="V9" s="205">
        <v>-6341</v>
      </c>
      <c r="W9" s="209" t="s">
        <v>11</v>
      </c>
    </row>
    <row r="10" spans="1:23" s="199" customFormat="1" ht="12" customHeight="1" x14ac:dyDescent="0.3">
      <c r="A10" s="214" t="s">
        <v>12</v>
      </c>
      <c r="B10" s="206">
        <v>-3404</v>
      </c>
      <c r="C10" s="205">
        <v>-3890</v>
      </c>
      <c r="D10" s="206">
        <v>-3207</v>
      </c>
      <c r="E10" s="205">
        <v>-3696</v>
      </c>
      <c r="F10" s="206">
        <v>-2776</v>
      </c>
      <c r="G10" s="205">
        <v>-2709</v>
      </c>
      <c r="H10" s="205">
        <v>-5211</v>
      </c>
      <c r="I10" s="205">
        <v>-4287</v>
      </c>
      <c r="J10" s="205">
        <v>-4359</v>
      </c>
      <c r="K10" s="205">
        <v>-4276</v>
      </c>
      <c r="L10" s="205">
        <v>-3139</v>
      </c>
      <c r="M10" s="205">
        <v>-4646</v>
      </c>
      <c r="N10" s="205">
        <v>-5960</v>
      </c>
      <c r="O10" s="205">
        <v>-4716</v>
      </c>
      <c r="P10" s="205">
        <v>-6784</v>
      </c>
      <c r="Q10" s="205">
        <v>-3150</v>
      </c>
      <c r="R10" s="205">
        <v>-3960</v>
      </c>
      <c r="S10" s="205">
        <v>-5069</v>
      </c>
      <c r="T10" s="205">
        <v>-2444</v>
      </c>
      <c r="U10" s="205">
        <v>-1725</v>
      </c>
      <c r="V10" s="205">
        <v>-894</v>
      </c>
      <c r="W10" s="209" t="s">
        <v>12</v>
      </c>
    </row>
    <row r="11" spans="1:23" s="199" customFormat="1" ht="12" customHeight="1" x14ac:dyDescent="0.3">
      <c r="A11" s="214" t="s">
        <v>13</v>
      </c>
      <c r="B11" s="206">
        <v>1030</v>
      </c>
      <c r="C11" s="205">
        <v>723</v>
      </c>
      <c r="D11" s="206">
        <v>1383</v>
      </c>
      <c r="E11" s="205">
        <v>849</v>
      </c>
      <c r="F11" s="206">
        <v>700</v>
      </c>
      <c r="G11" s="205">
        <v>879</v>
      </c>
      <c r="H11" s="205">
        <v>-1753</v>
      </c>
      <c r="I11" s="205">
        <v>-1297</v>
      </c>
      <c r="J11" s="205">
        <v>-2283</v>
      </c>
      <c r="K11" s="205">
        <v>-1697</v>
      </c>
      <c r="L11" s="205">
        <v>-965</v>
      </c>
      <c r="M11" s="205">
        <v>-2091</v>
      </c>
      <c r="N11" s="205">
        <v>-2776</v>
      </c>
      <c r="O11" s="205">
        <v>-1866</v>
      </c>
      <c r="P11" s="205">
        <v>-3119</v>
      </c>
      <c r="Q11" s="205">
        <v>-1089</v>
      </c>
      <c r="R11" s="205">
        <v>-1704</v>
      </c>
      <c r="S11" s="205">
        <v>-2852</v>
      </c>
      <c r="T11" s="205">
        <v>-963</v>
      </c>
      <c r="U11" s="205">
        <v>-723</v>
      </c>
      <c r="V11" s="205">
        <v>-175</v>
      </c>
      <c r="W11" s="209" t="s">
        <v>13</v>
      </c>
    </row>
    <row r="12" spans="1:23" s="199" customFormat="1" ht="12" customHeight="1" x14ac:dyDescent="0.3">
      <c r="A12" s="214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9"/>
    </row>
    <row r="13" spans="1:23" s="199" customFormat="1" ht="12" customHeight="1" x14ac:dyDescent="0.3">
      <c r="A13" s="214" t="s">
        <v>14</v>
      </c>
      <c r="B13" s="205">
        <v>-3382</v>
      </c>
      <c r="C13" s="205">
        <v>-2658</v>
      </c>
      <c r="D13" s="205">
        <v>-2154</v>
      </c>
      <c r="E13" s="205">
        <v>-2454</v>
      </c>
      <c r="F13" s="205">
        <v>-1976</v>
      </c>
      <c r="G13" s="205">
        <v>-2091</v>
      </c>
      <c r="H13" s="205">
        <v>-4022</v>
      </c>
      <c r="I13" s="205">
        <v>-3548</v>
      </c>
      <c r="J13" s="205">
        <v>-3865</v>
      </c>
      <c r="K13" s="205">
        <v>-3279</v>
      </c>
      <c r="L13" s="205">
        <v>-2052</v>
      </c>
      <c r="M13" s="205">
        <v>-2992</v>
      </c>
      <c r="N13" s="205">
        <v>-4199</v>
      </c>
      <c r="O13" s="205">
        <v>-2222</v>
      </c>
      <c r="P13" s="205">
        <v>-2669</v>
      </c>
      <c r="Q13" s="205">
        <v>-1582</v>
      </c>
      <c r="R13" s="205">
        <v>-2358</v>
      </c>
      <c r="S13" s="205">
        <v>-3087</v>
      </c>
      <c r="T13" s="205">
        <v>333</v>
      </c>
      <c r="U13" s="205">
        <v>458</v>
      </c>
      <c r="V13" s="205">
        <v>992</v>
      </c>
      <c r="W13" s="209" t="s">
        <v>14</v>
      </c>
    </row>
    <row r="14" spans="1:23" s="199" customFormat="1" ht="12" customHeight="1" x14ac:dyDescent="0.3">
      <c r="A14" s="214" t="s">
        <v>15</v>
      </c>
      <c r="B14" s="206">
        <v>-8726</v>
      </c>
      <c r="C14" s="205">
        <v>-6647</v>
      </c>
      <c r="D14" s="206">
        <v>-4293</v>
      </c>
      <c r="E14" s="205">
        <v>-3145</v>
      </c>
      <c r="F14" s="206">
        <v>-2255</v>
      </c>
      <c r="G14" s="205">
        <v>-2282</v>
      </c>
      <c r="H14" s="205">
        <v>-4794</v>
      </c>
      <c r="I14" s="205">
        <v>-2903</v>
      </c>
      <c r="J14" s="205">
        <v>-2972</v>
      </c>
      <c r="K14" s="205">
        <v>-2286</v>
      </c>
      <c r="L14" s="205">
        <v>-365</v>
      </c>
      <c r="M14" s="205">
        <v>-2764</v>
      </c>
      <c r="N14" s="205">
        <v>-3263</v>
      </c>
      <c r="O14" s="205">
        <v>-246</v>
      </c>
      <c r="P14" s="205">
        <v>185</v>
      </c>
      <c r="Q14" s="205">
        <v>999</v>
      </c>
      <c r="R14" s="205">
        <v>-1198</v>
      </c>
      <c r="S14" s="205">
        <v>-400</v>
      </c>
      <c r="T14" s="205">
        <v>7202</v>
      </c>
      <c r="U14" s="205">
        <v>5663</v>
      </c>
      <c r="V14" s="205">
        <v>4691</v>
      </c>
      <c r="W14" s="209" t="s">
        <v>15</v>
      </c>
    </row>
    <row r="15" spans="1:23" s="199" customFormat="1" ht="12" customHeight="1" x14ac:dyDescent="0.3">
      <c r="A15" s="214" t="s">
        <v>16</v>
      </c>
      <c r="B15" s="206">
        <v>-20938</v>
      </c>
      <c r="C15" s="205">
        <v>-19281</v>
      </c>
      <c r="D15" s="206">
        <v>-16253</v>
      </c>
      <c r="E15" s="205">
        <v>-13901</v>
      </c>
      <c r="F15" s="206">
        <v>-11252</v>
      </c>
      <c r="G15" s="205">
        <v>-9780</v>
      </c>
      <c r="H15" s="205">
        <v>-14405</v>
      </c>
      <c r="I15" s="205">
        <v>-10379</v>
      </c>
      <c r="J15" s="205">
        <v>-8989</v>
      </c>
      <c r="K15" s="205">
        <v>-6977</v>
      </c>
      <c r="L15" s="205">
        <v>-4914</v>
      </c>
      <c r="M15" s="205">
        <v>-6811</v>
      </c>
      <c r="N15" s="205">
        <v>-7317</v>
      </c>
      <c r="O15" s="205">
        <v>-3716</v>
      </c>
      <c r="P15" s="205">
        <v>-2867</v>
      </c>
      <c r="Q15" s="205">
        <v>-621</v>
      </c>
      <c r="R15" s="205">
        <v>-2138</v>
      </c>
      <c r="S15" s="205">
        <v>-4875</v>
      </c>
      <c r="T15" s="205">
        <v>2255</v>
      </c>
      <c r="U15" s="205">
        <v>2491</v>
      </c>
      <c r="V15" s="205">
        <v>-1861</v>
      </c>
      <c r="W15" s="209" t="s">
        <v>16</v>
      </c>
    </row>
    <row r="16" spans="1:23" s="199" customFormat="1" ht="12" customHeight="1" x14ac:dyDescent="0.3">
      <c r="A16" s="214" t="s">
        <v>17</v>
      </c>
      <c r="B16" s="205">
        <v>-22656</v>
      </c>
      <c r="C16" s="205">
        <v>-22777</v>
      </c>
      <c r="D16" s="205">
        <v>-21461</v>
      </c>
      <c r="E16" s="205">
        <v>-22636</v>
      </c>
      <c r="F16" s="205">
        <v>-19488</v>
      </c>
      <c r="G16" s="205">
        <v>-16866</v>
      </c>
      <c r="H16" s="205">
        <v>-24791</v>
      </c>
      <c r="I16" s="205">
        <v>-21788</v>
      </c>
      <c r="J16" s="205">
        <v>-21378</v>
      </c>
      <c r="K16" s="205">
        <v>-21717</v>
      </c>
      <c r="L16" s="205">
        <v>-18365</v>
      </c>
      <c r="M16" s="205">
        <v>-21084</v>
      </c>
      <c r="N16" s="205">
        <v>-21134</v>
      </c>
      <c r="O16" s="205">
        <v>-15754</v>
      </c>
      <c r="P16" s="205">
        <v>-18784</v>
      </c>
      <c r="Q16" s="205">
        <v>-13602</v>
      </c>
      <c r="R16" s="205">
        <v>-14013</v>
      </c>
      <c r="S16" s="205">
        <v>-20474</v>
      </c>
      <c r="T16" s="205">
        <v>-13687</v>
      </c>
      <c r="U16" s="205">
        <v>-12031</v>
      </c>
      <c r="V16" s="205">
        <v>-13998</v>
      </c>
      <c r="W16" s="209" t="s">
        <v>17</v>
      </c>
    </row>
    <row r="17" spans="1:23" s="199" customFormat="1" ht="12" customHeight="1" x14ac:dyDescent="0.3">
      <c r="A17" s="214" t="s">
        <v>18</v>
      </c>
      <c r="B17" s="205">
        <v>-8875</v>
      </c>
      <c r="C17" s="205">
        <v>-10009</v>
      </c>
      <c r="D17" s="205">
        <v>-9517</v>
      </c>
      <c r="E17" s="205">
        <v>-11232</v>
      </c>
      <c r="F17" s="205">
        <v>-11632</v>
      </c>
      <c r="G17" s="205">
        <v>-11595</v>
      </c>
      <c r="H17" s="205">
        <v>-18203</v>
      </c>
      <c r="I17" s="205">
        <v>-16089</v>
      </c>
      <c r="J17" s="205">
        <v>-15181</v>
      </c>
      <c r="K17" s="205">
        <v>-13991</v>
      </c>
      <c r="L17" s="205">
        <v>-12186</v>
      </c>
      <c r="M17" s="205">
        <v>-17253</v>
      </c>
      <c r="N17" s="205">
        <v>-19387</v>
      </c>
      <c r="O17" s="205">
        <v>-17066</v>
      </c>
      <c r="P17" s="205">
        <v>-23308</v>
      </c>
      <c r="Q17" s="205">
        <v>-16476</v>
      </c>
      <c r="R17" s="205">
        <v>-17182</v>
      </c>
      <c r="S17" s="205">
        <v>-19844</v>
      </c>
      <c r="T17" s="205">
        <v>-13039</v>
      </c>
      <c r="U17" s="205">
        <v>-11431</v>
      </c>
      <c r="V17" s="205">
        <v>-11633</v>
      </c>
      <c r="W17" s="209" t="s">
        <v>18</v>
      </c>
    </row>
    <row r="18" spans="1:23" s="199" customFormat="1" ht="12" customHeight="1" x14ac:dyDescent="0.3">
      <c r="A18" s="214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9"/>
    </row>
    <row r="19" spans="1:23" s="199" customFormat="1" ht="12" customHeight="1" x14ac:dyDescent="0.3">
      <c r="A19" s="214" t="s">
        <v>19</v>
      </c>
      <c r="B19" s="205">
        <v>-4590</v>
      </c>
      <c r="C19" s="205">
        <v>-3686</v>
      </c>
      <c r="D19" s="205">
        <v>-2274</v>
      </c>
      <c r="E19" s="205">
        <v>-3563</v>
      </c>
      <c r="F19" s="205">
        <v>-3530</v>
      </c>
      <c r="G19" s="205">
        <v>-3613</v>
      </c>
      <c r="H19" s="205">
        <v>-7850</v>
      </c>
      <c r="I19" s="205">
        <v>-7765</v>
      </c>
      <c r="J19" s="205">
        <v>-8512</v>
      </c>
      <c r="K19" s="205">
        <v>-7523</v>
      </c>
      <c r="L19" s="205">
        <v>-6850</v>
      </c>
      <c r="M19" s="205">
        <v>-9706</v>
      </c>
      <c r="N19" s="205">
        <v>-11878</v>
      </c>
      <c r="O19" s="205">
        <v>-9350</v>
      </c>
      <c r="P19" s="205">
        <v>-13025</v>
      </c>
      <c r="Q19" s="205">
        <v>-8410</v>
      </c>
      <c r="R19" s="205">
        <v>-10389</v>
      </c>
      <c r="S19" s="205">
        <v>-12626</v>
      </c>
      <c r="T19" s="205">
        <v>-7844</v>
      </c>
      <c r="U19" s="205">
        <v>-7260</v>
      </c>
      <c r="V19" s="205">
        <v>-6726</v>
      </c>
      <c r="W19" s="209" t="s">
        <v>19</v>
      </c>
    </row>
    <row r="20" spans="1:23" s="199" customFormat="1" ht="12" customHeight="1" x14ac:dyDescent="0.3">
      <c r="A20" s="214" t="s">
        <v>20</v>
      </c>
      <c r="B20" s="205">
        <v>-6644</v>
      </c>
      <c r="C20" s="205">
        <v>-5693</v>
      </c>
      <c r="D20" s="205">
        <v>-4735</v>
      </c>
      <c r="E20" s="205">
        <v>-5721</v>
      </c>
      <c r="F20" s="205">
        <v>-5622</v>
      </c>
      <c r="G20" s="205">
        <v>-4788</v>
      </c>
      <c r="H20" s="205">
        <v>-7170</v>
      </c>
      <c r="I20" s="205">
        <v>-6205</v>
      </c>
      <c r="J20" s="205">
        <v>-6613</v>
      </c>
      <c r="K20" s="205">
        <v>-5617</v>
      </c>
      <c r="L20" s="205">
        <v>-5000</v>
      </c>
      <c r="M20" s="205">
        <v>-7536</v>
      </c>
      <c r="N20" s="205">
        <v>-9596</v>
      </c>
      <c r="O20" s="205">
        <v>-7736</v>
      </c>
      <c r="P20" s="205">
        <v>-10709</v>
      </c>
      <c r="Q20" s="205">
        <v>-7671</v>
      </c>
      <c r="R20" s="205">
        <v>-8776</v>
      </c>
      <c r="S20" s="205">
        <v>-9900</v>
      </c>
      <c r="T20" s="205">
        <v>-5701</v>
      </c>
      <c r="U20" s="205">
        <v>-4743</v>
      </c>
      <c r="V20" s="205">
        <v>-4348</v>
      </c>
      <c r="W20" s="209" t="s">
        <v>20</v>
      </c>
    </row>
    <row r="21" spans="1:23" s="199" customFormat="1" ht="12" customHeight="1" x14ac:dyDescent="0.3">
      <c r="A21" s="214" t="s">
        <v>21</v>
      </c>
      <c r="B21" s="205">
        <v>-6503</v>
      </c>
      <c r="C21" s="205">
        <v>-5819</v>
      </c>
      <c r="D21" s="205">
        <v>-5342</v>
      </c>
      <c r="E21" s="205">
        <v>-6765</v>
      </c>
      <c r="F21" s="205">
        <v>-7094</v>
      </c>
      <c r="G21" s="205">
        <v>-5961</v>
      </c>
      <c r="H21" s="205">
        <v>-8544</v>
      </c>
      <c r="I21" s="205">
        <v>-8046</v>
      </c>
      <c r="J21" s="205">
        <v>-8071</v>
      </c>
      <c r="K21" s="205">
        <v>-6955</v>
      </c>
      <c r="L21" s="205">
        <v>-5706</v>
      </c>
      <c r="M21" s="205">
        <v>-8438</v>
      </c>
      <c r="N21" s="205">
        <v>-9592</v>
      </c>
      <c r="O21" s="205">
        <v>-8102</v>
      </c>
      <c r="P21" s="205">
        <v>-9440</v>
      </c>
      <c r="Q21" s="205">
        <v>-7474</v>
      </c>
      <c r="R21" s="205">
        <v>-8964</v>
      </c>
      <c r="S21" s="205">
        <v>-10581</v>
      </c>
      <c r="T21" s="205">
        <v>-6706</v>
      </c>
      <c r="U21" s="205">
        <v>-6030</v>
      </c>
      <c r="V21" s="205">
        <v>-6403</v>
      </c>
      <c r="W21" s="209" t="s">
        <v>21</v>
      </c>
    </row>
    <row r="22" spans="1:23" s="199" customFormat="1" ht="12" customHeight="1" x14ac:dyDescent="0.3">
      <c r="A22" s="214" t="s">
        <v>22</v>
      </c>
      <c r="B22" s="205">
        <v>-5990</v>
      </c>
      <c r="C22" s="205">
        <v>-5586</v>
      </c>
      <c r="D22" s="205">
        <v>-5392</v>
      </c>
      <c r="E22" s="205">
        <v>-6427</v>
      </c>
      <c r="F22" s="205">
        <v>-6685</v>
      </c>
      <c r="G22" s="205">
        <v>-5578</v>
      </c>
      <c r="H22" s="205">
        <v>-7456</v>
      </c>
      <c r="I22" s="205">
        <v>-7429</v>
      </c>
      <c r="J22" s="205">
        <v>-7553</v>
      </c>
      <c r="K22" s="205">
        <v>-7084</v>
      </c>
      <c r="L22" s="205">
        <v>-6797</v>
      </c>
      <c r="M22" s="205">
        <v>-10159</v>
      </c>
      <c r="N22" s="205">
        <v>-11398</v>
      </c>
      <c r="O22" s="205">
        <v>-9480</v>
      </c>
      <c r="P22" s="205">
        <v>-11049</v>
      </c>
      <c r="Q22" s="205">
        <v>-8257</v>
      </c>
      <c r="R22" s="205">
        <v>-8407</v>
      </c>
      <c r="S22" s="205">
        <v>-9589</v>
      </c>
      <c r="T22" s="205">
        <v>-6333</v>
      </c>
      <c r="U22" s="205">
        <v>-6167</v>
      </c>
      <c r="V22" s="205">
        <v>-6914</v>
      </c>
      <c r="W22" s="209" t="s">
        <v>22</v>
      </c>
    </row>
    <row r="23" spans="1:23" s="199" customFormat="1" ht="12" customHeight="1" x14ac:dyDescent="0.3">
      <c r="A23" s="214" t="s">
        <v>314</v>
      </c>
      <c r="B23" s="205">
        <v>-12116</v>
      </c>
      <c r="C23" s="205">
        <v>-12625</v>
      </c>
      <c r="D23" s="205">
        <v>-12618</v>
      </c>
      <c r="E23" s="205">
        <v>-14381</v>
      </c>
      <c r="F23" s="205">
        <v>-16402</v>
      </c>
      <c r="G23" s="205">
        <v>-12254</v>
      </c>
      <c r="H23" s="205">
        <v>-16543</v>
      </c>
      <c r="I23" s="205">
        <v>-17324</v>
      </c>
      <c r="J23" s="205">
        <v>-15754</v>
      </c>
      <c r="K23" s="205">
        <v>-15776</v>
      </c>
      <c r="L23" s="205">
        <v>-15580</v>
      </c>
      <c r="M23" s="205">
        <v>-24997</v>
      </c>
      <c r="N23" s="205">
        <v>-27177</v>
      </c>
      <c r="O23" s="205">
        <v>-24179</v>
      </c>
      <c r="P23" s="205">
        <v>-28159</v>
      </c>
      <c r="Q23" s="205">
        <v>-19476</v>
      </c>
      <c r="R23" s="205">
        <v>-23796</v>
      </c>
      <c r="S23" s="205">
        <v>-27801</v>
      </c>
      <c r="T23" s="205">
        <v>-18588</v>
      </c>
      <c r="U23" s="205">
        <v>-18221</v>
      </c>
      <c r="V23" s="205">
        <v>-21181</v>
      </c>
      <c r="W23" s="209" t="s">
        <v>314</v>
      </c>
    </row>
    <row r="24" spans="1:23" s="199" customFormat="1" ht="12" customHeight="1" x14ac:dyDescent="0.3">
      <c r="A24" s="214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9"/>
    </row>
    <row r="25" spans="1:23" s="199" customFormat="1" ht="12" customHeight="1" x14ac:dyDescent="0.3">
      <c r="A25" s="214" t="s">
        <v>299</v>
      </c>
      <c r="B25" s="205">
        <v>-53278</v>
      </c>
      <c r="C25" s="205">
        <v>-49485</v>
      </c>
      <c r="D25" s="205">
        <v>-42655</v>
      </c>
      <c r="E25" s="205">
        <v>-40554</v>
      </c>
      <c r="F25" s="205">
        <v>-33640</v>
      </c>
      <c r="G25" s="205">
        <v>-29485</v>
      </c>
      <c r="H25" s="205">
        <v>-44813</v>
      </c>
      <c r="I25" s="205">
        <v>-35651</v>
      </c>
      <c r="J25" s="205">
        <v>-33725</v>
      </c>
      <c r="K25" s="205">
        <v>-31375</v>
      </c>
      <c r="L25" s="205">
        <v>-23791</v>
      </c>
      <c r="M25" s="205">
        <v>-30897</v>
      </c>
      <c r="N25" s="205">
        <v>-32238</v>
      </c>
      <c r="O25" s="205">
        <v>-19635</v>
      </c>
      <c r="P25" s="205">
        <v>-21383</v>
      </c>
      <c r="Q25" s="205">
        <v>-12847</v>
      </c>
      <c r="R25" s="205">
        <v>-17277</v>
      </c>
      <c r="S25" s="205">
        <v>-25885</v>
      </c>
      <c r="T25" s="205">
        <v>-2921</v>
      </c>
      <c r="U25" s="205">
        <v>-2396</v>
      </c>
      <c r="V25" s="205">
        <v>-9749</v>
      </c>
      <c r="W25" s="209" t="s">
        <v>299</v>
      </c>
    </row>
    <row r="26" spans="1:23" s="199" customFormat="1" ht="12" customHeight="1" x14ac:dyDescent="0.3">
      <c r="A26" s="214" t="s">
        <v>300</v>
      </c>
      <c r="B26" s="205">
        <v>-28869</v>
      </c>
      <c r="C26" s="205">
        <v>-25889</v>
      </c>
      <c r="D26" s="205">
        <v>-22707</v>
      </c>
      <c r="E26" s="205">
        <v>-27764</v>
      </c>
      <c r="F26" s="205">
        <v>-29220</v>
      </c>
      <c r="G26" s="205">
        <v>-24776</v>
      </c>
      <c r="H26" s="205">
        <v>-37348</v>
      </c>
      <c r="I26" s="205">
        <v>-35512</v>
      </c>
      <c r="J26" s="205">
        <v>-36500</v>
      </c>
      <c r="K26" s="205">
        <v>-32666</v>
      </c>
      <c r="L26" s="205">
        <v>-29564</v>
      </c>
      <c r="M26" s="205">
        <v>-44449</v>
      </c>
      <c r="N26" s="205">
        <v>-51975</v>
      </c>
      <c r="O26" s="205">
        <v>-43013</v>
      </c>
      <c r="P26" s="205">
        <v>-54042</v>
      </c>
      <c r="Q26" s="205">
        <v>-38586</v>
      </c>
      <c r="R26" s="205">
        <v>-44752</v>
      </c>
      <c r="S26" s="205">
        <v>-52418</v>
      </c>
      <c r="T26" s="205">
        <v>-32626</v>
      </c>
      <c r="U26" s="205">
        <v>-30268</v>
      </c>
      <c r="V26" s="205">
        <v>-31015</v>
      </c>
      <c r="W26" s="209" t="s">
        <v>300</v>
      </c>
    </row>
    <row r="27" spans="1:23" s="199" customFormat="1" ht="12" customHeight="1" x14ac:dyDescent="0.3">
      <c r="A27" s="214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9"/>
    </row>
    <row r="28" spans="1:23" s="199" customFormat="1" ht="12" customHeight="1" x14ac:dyDescent="0.3">
      <c r="A28" s="234" t="s">
        <v>294</v>
      </c>
      <c r="B28" s="205">
        <v>-7456</v>
      </c>
      <c r="C28" s="205">
        <v>5811</v>
      </c>
      <c r="D28" s="205">
        <v>6030</v>
      </c>
      <c r="E28" s="205">
        <v>19752</v>
      </c>
      <c r="F28" s="205">
        <v>11237</v>
      </c>
      <c r="G28" s="205">
        <v>5522</v>
      </c>
      <c r="H28" s="205">
        <v>7294</v>
      </c>
      <c r="I28" s="205">
        <v>32025</v>
      </c>
      <c r="J28" s="205">
        <v>29027</v>
      </c>
      <c r="K28" s="205">
        <v>25555</v>
      </c>
      <c r="L28" s="205">
        <v>14483</v>
      </c>
      <c r="M28" s="205">
        <v>16505</v>
      </c>
      <c r="N28" s="205">
        <v>10359</v>
      </c>
      <c r="O28" s="205">
        <v>1916</v>
      </c>
      <c r="P28" s="205">
        <v>-753</v>
      </c>
      <c r="Q28" s="205">
        <v>-4384</v>
      </c>
      <c r="R28" s="205">
        <v>-15322</v>
      </c>
      <c r="S28" s="205">
        <v>12741</v>
      </c>
      <c r="T28" s="205">
        <v>28598</v>
      </c>
      <c r="U28" s="205">
        <v>30436</v>
      </c>
      <c r="V28" s="205">
        <v>22173</v>
      </c>
      <c r="W28" s="235" t="s">
        <v>294</v>
      </c>
    </row>
    <row r="29" spans="1:23" s="199" customFormat="1" ht="12" customHeight="1" x14ac:dyDescent="0.3">
      <c r="A29" s="214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9"/>
    </row>
    <row r="30" spans="1:23" s="199" customFormat="1" ht="12" customHeight="1" x14ac:dyDescent="0.3">
      <c r="A30" s="214" t="s">
        <v>11</v>
      </c>
      <c r="B30" s="206">
        <v>292</v>
      </c>
      <c r="C30" s="205">
        <v>1890</v>
      </c>
      <c r="D30" s="206">
        <v>1207</v>
      </c>
      <c r="E30" s="205">
        <v>2752</v>
      </c>
      <c r="F30" s="206">
        <v>2272</v>
      </c>
      <c r="G30" s="205">
        <v>1309</v>
      </c>
      <c r="H30" s="205">
        <v>941</v>
      </c>
      <c r="I30" s="205">
        <v>4249</v>
      </c>
      <c r="J30" s="205">
        <v>3173</v>
      </c>
      <c r="K30" s="205">
        <v>2276</v>
      </c>
      <c r="L30" s="205">
        <v>1238</v>
      </c>
      <c r="M30" s="205">
        <v>1401</v>
      </c>
      <c r="N30" s="205">
        <v>619</v>
      </c>
      <c r="O30" s="205">
        <v>-330</v>
      </c>
      <c r="P30" s="205">
        <v>-805</v>
      </c>
      <c r="Q30" s="205">
        <v>-908</v>
      </c>
      <c r="R30" s="205">
        <v>-1527</v>
      </c>
      <c r="S30" s="205">
        <v>958</v>
      </c>
      <c r="T30" s="205">
        <v>2781</v>
      </c>
      <c r="U30" s="205">
        <v>2947</v>
      </c>
      <c r="V30" s="205">
        <v>2053</v>
      </c>
      <c r="W30" s="209" t="s">
        <v>11</v>
      </c>
    </row>
    <row r="31" spans="1:23" s="199" customFormat="1" ht="12" customHeight="1" x14ac:dyDescent="0.3">
      <c r="A31" s="214" t="s">
        <v>12</v>
      </c>
      <c r="B31" s="206">
        <v>-976</v>
      </c>
      <c r="C31" s="205">
        <v>745</v>
      </c>
      <c r="D31" s="206">
        <v>-62</v>
      </c>
      <c r="E31" s="205">
        <v>1266</v>
      </c>
      <c r="F31" s="206">
        <v>486</v>
      </c>
      <c r="G31" s="205">
        <v>111</v>
      </c>
      <c r="H31" s="205">
        <v>-25</v>
      </c>
      <c r="I31" s="205">
        <v>1714</v>
      </c>
      <c r="J31" s="205">
        <v>1476</v>
      </c>
      <c r="K31" s="205">
        <v>1085</v>
      </c>
      <c r="L31" s="205">
        <v>512</v>
      </c>
      <c r="M31" s="205">
        <v>720</v>
      </c>
      <c r="N31" s="205">
        <v>236</v>
      </c>
      <c r="O31" s="205">
        <v>-481</v>
      </c>
      <c r="P31" s="205">
        <v>-613</v>
      </c>
      <c r="Q31" s="205">
        <v>-592</v>
      </c>
      <c r="R31" s="205">
        <v>-894</v>
      </c>
      <c r="S31" s="205">
        <v>626</v>
      </c>
      <c r="T31" s="205">
        <v>1889</v>
      </c>
      <c r="U31" s="205">
        <v>1581</v>
      </c>
      <c r="V31" s="205">
        <v>800</v>
      </c>
      <c r="W31" s="209" t="s">
        <v>12</v>
      </c>
    </row>
    <row r="32" spans="1:23" s="199" customFormat="1" ht="12" customHeight="1" x14ac:dyDescent="0.3">
      <c r="A32" s="214" t="s">
        <v>13</v>
      </c>
      <c r="B32" s="206">
        <v>-1305</v>
      </c>
      <c r="C32" s="205">
        <v>-185</v>
      </c>
      <c r="D32" s="206">
        <v>-329</v>
      </c>
      <c r="E32" s="205">
        <v>575</v>
      </c>
      <c r="F32" s="206">
        <v>-108</v>
      </c>
      <c r="G32" s="205">
        <v>-145</v>
      </c>
      <c r="H32" s="205">
        <v>164</v>
      </c>
      <c r="I32" s="205">
        <v>1200</v>
      </c>
      <c r="J32" s="205">
        <v>952</v>
      </c>
      <c r="K32" s="205">
        <v>822</v>
      </c>
      <c r="L32" s="205">
        <v>548</v>
      </c>
      <c r="M32" s="205">
        <v>491</v>
      </c>
      <c r="N32" s="205">
        <v>328</v>
      </c>
      <c r="O32" s="205">
        <v>-29</v>
      </c>
      <c r="P32" s="205">
        <v>-229</v>
      </c>
      <c r="Q32" s="205">
        <v>-127</v>
      </c>
      <c r="R32" s="205">
        <v>-522</v>
      </c>
      <c r="S32" s="205">
        <v>466</v>
      </c>
      <c r="T32" s="205">
        <v>1013</v>
      </c>
      <c r="U32" s="205">
        <v>1061</v>
      </c>
      <c r="V32" s="205">
        <v>622</v>
      </c>
      <c r="W32" s="209" t="s">
        <v>13</v>
      </c>
    </row>
    <row r="33" spans="1:23" s="199" customFormat="1" ht="12" customHeight="1" x14ac:dyDescent="0.3">
      <c r="A33" s="214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9"/>
    </row>
    <row r="34" spans="1:23" s="199" customFormat="1" ht="12" customHeight="1" x14ac:dyDescent="0.3">
      <c r="A34" s="214" t="s">
        <v>14</v>
      </c>
      <c r="B34" s="206">
        <v>-601</v>
      </c>
      <c r="C34" s="205">
        <v>-89</v>
      </c>
      <c r="D34" s="206">
        <v>-180</v>
      </c>
      <c r="E34" s="205">
        <v>453</v>
      </c>
      <c r="F34" s="206">
        <v>-6</v>
      </c>
      <c r="G34" s="205">
        <v>37</v>
      </c>
      <c r="H34" s="205">
        <v>305</v>
      </c>
      <c r="I34" s="205">
        <v>867</v>
      </c>
      <c r="J34" s="205">
        <v>706</v>
      </c>
      <c r="K34" s="205">
        <v>765</v>
      </c>
      <c r="L34" s="205">
        <v>466</v>
      </c>
      <c r="M34" s="205">
        <v>466</v>
      </c>
      <c r="N34" s="205">
        <v>381</v>
      </c>
      <c r="O34" s="205">
        <v>-166</v>
      </c>
      <c r="P34" s="205">
        <v>-185</v>
      </c>
      <c r="Q34" s="205">
        <v>-307</v>
      </c>
      <c r="R34" s="205">
        <v>-456</v>
      </c>
      <c r="S34" s="205">
        <v>167</v>
      </c>
      <c r="T34" s="205">
        <v>253</v>
      </c>
      <c r="U34" s="205">
        <v>385</v>
      </c>
      <c r="V34" s="205">
        <v>201</v>
      </c>
      <c r="W34" s="209" t="s">
        <v>14</v>
      </c>
    </row>
    <row r="35" spans="1:23" s="199" customFormat="1" ht="12" customHeight="1" x14ac:dyDescent="0.3">
      <c r="A35" s="214" t="s">
        <v>15</v>
      </c>
      <c r="B35" s="206">
        <v>-1108</v>
      </c>
      <c r="C35" s="205">
        <v>-1039</v>
      </c>
      <c r="D35" s="206">
        <v>-781</v>
      </c>
      <c r="E35" s="205">
        <v>488</v>
      </c>
      <c r="F35" s="206">
        <v>-89</v>
      </c>
      <c r="G35" s="205">
        <v>-526</v>
      </c>
      <c r="H35" s="205">
        <v>-352</v>
      </c>
      <c r="I35" s="205">
        <v>832</v>
      </c>
      <c r="J35" s="205">
        <v>929</v>
      </c>
      <c r="K35" s="205">
        <v>1040</v>
      </c>
      <c r="L35" s="205">
        <v>75</v>
      </c>
      <c r="M35" s="205">
        <v>160</v>
      </c>
      <c r="N35" s="205">
        <v>-26</v>
      </c>
      <c r="O35" s="205">
        <v>-203</v>
      </c>
      <c r="P35" s="205">
        <v>-545</v>
      </c>
      <c r="Q35" s="205">
        <v>-731</v>
      </c>
      <c r="R35" s="205">
        <v>-2577</v>
      </c>
      <c r="S35" s="205">
        <v>-1138</v>
      </c>
      <c r="T35" s="205">
        <v>-633</v>
      </c>
      <c r="U35" s="205">
        <v>-446</v>
      </c>
      <c r="V35" s="205">
        <v>-169</v>
      </c>
      <c r="W35" s="209" t="s">
        <v>15</v>
      </c>
    </row>
    <row r="36" spans="1:23" s="199" customFormat="1" ht="12" customHeight="1" x14ac:dyDescent="0.3">
      <c r="A36" s="214" t="s">
        <v>16</v>
      </c>
      <c r="B36" s="206">
        <v>-1175</v>
      </c>
      <c r="C36" s="205">
        <v>22</v>
      </c>
      <c r="D36" s="206">
        <v>494</v>
      </c>
      <c r="E36" s="205">
        <v>2222</v>
      </c>
      <c r="F36" s="206">
        <v>1710</v>
      </c>
      <c r="G36" s="205">
        <v>203</v>
      </c>
      <c r="H36" s="205">
        <v>-328</v>
      </c>
      <c r="I36" s="205">
        <v>1940</v>
      </c>
      <c r="J36" s="205">
        <v>2232</v>
      </c>
      <c r="K36" s="205">
        <v>1687</v>
      </c>
      <c r="L36" s="205">
        <v>221</v>
      </c>
      <c r="M36" s="205">
        <v>-42</v>
      </c>
      <c r="N36" s="205">
        <v>-147</v>
      </c>
      <c r="O36" s="205">
        <v>-727</v>
      </c>
      <c r="P36" s="205">
        <v>-1436</v>
      </c>
      <c r="Q36" s="205">
        <v>-1929</v>
      </c>
      <c r="R36" s="205">
        <v>-3457</v>
      </c>
      <c r="S36" s="205">
        <v>-651</v>
      </c>
      <c r="T36" s="205">
        <v>642</v>
      </c>
      <c r="U36" s="205">
        <v>929</v>
      </c>
      <c r="V36" s="205">
        <v>915</v>
      </c>
      <c r="W36" s="209" t="s">
        <v>16</v>
      </c>
    </row>
    <row r="37" spans="1:23" s="199" customFormat="1" ht="12" customHeight="1" x14ac:dyDescent="0.3">
      <c r="A37" s="214" t="s">
        <v>17</v>
      </c>
      <c r="B37" s="205">
        <v>301</v>
      </c>
      <c r="C37" s="205">
        <v>1824</v>
      </c>
      <c r="D37" s="205">
        <v>1847</v>
      </c>
      <c r="E37" s="205">
        <v>4172</v>
      </c>
      <c r="F37" s="205">
        <v>3132</v>
      </c>
      <c r="G37" s="205">
        <v>1574</v>
      </c>
      <c r="H37" s="205">
        <v>1331</v>
      </c>
      <c r="I37" s="205">
        <v>5675</v>
      </c>
      <c r="J37" s="205">
        <v>4983</v>
      </c>
      <c r="K37" s="205">
        <v>4564</v>
      </c>
      <c r="L37" s="205">
        <v>2492</v>
      </c>
      <c r="M37" s="205">
        <v>2477</v>
      </c>
      <c r="N37" s="205">
        <v>1511</v>
      </c>
      <c r="O37" s="205">
        <v>-31</v>
      </c>
      <c r="P37" s="205">
        <v>-391</v>
      </c>
      <c r="Q37" s="205">
        <v>-1249</v>
      </c>
      <c r="R37" s="205">
        <v>-2437</v>
      </c>
      <c r="S37" s="205">
        <v>1660</v>
      </c>
      <c r="T37" s="205">
        <v>4011</v>
      </c>
      <c r="U37" s="205">
        <v>3864</v>
      </c>
      <c r="V37" s="205">
        <v>2780</v>
      </c>
      <c r="W37" s="209" t="s">
        <v>17</v>
      </c>
    </row>
    <row r="38" spans="1:23" s="199" customFormat="1" ht="12" customHeight="1" x14ac:dyDescent="0.3">
      <c r="A38" s="214" t="s">
        <v>18</v>
      </c>
      <c r="B38" s="205">
        <v>-860</v>
      </c>
      <c r="C38" s="205">
        <v>1142</v>
      </c>
      <c r="D38" s="205">
        <v>1167</v>
      </c>
      <c r="E38" s="205">
        <v>2397</v>
      </c>
      <c r="F38" s="205">
        <v>1208</v>
      </c>
      <c r="G38" s="205">
        <v>897</v>
      </c>
      <c r="H38" s="205">
        <v>1291</v>
      </c>
      <c r="I38" s="205">
        <v>4582</v>
      </c>
      <c r="J38" s="205">
        <v>3894</v>
      </c>
      <c r="K38" s="205">
        <v>3152</v>
      </c>
      <c r="L38" s="205">
        <v>1962</v>
      </c>
      <c r="M38" s="205">
        <v>2203</v>
      </c>
      <c r="N38" s="205">
        <v>1358</v>
      </c>
      <c r="O38" s="205">
        <v>-117</v>
      </c>
      <c r="P38" s="205">
        <v>-216</v>
      </c>
      <c r="Q38" s="205">
        <v>-381</v>
      </c>
      <c r="R38" s="205">
        <v>-1666</v>
      </c>
      <c r="S38" s="205">
        <v>2331</v>
      </c>
      <c r="T38" s="205">
        <v>4654</v>
      </c>
      <c r="U38" s="205">
        <v>4969</v>
      </c>
      <c r="V38" s="205">
        <v>3026</v>
      </c>
      <c r="W38" s="209" t="s">
        <v>18</v>
      </c>
    </row>
    <row r="39" spans="1:23" s="199" customFormat="1" ht="12" customHeight="1" x14ac:dyDescent="0.3">
      <c r="A39" s="21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9"/>
    </row>
    <row r="40" spans="1:23" s="199" customFormat="1" ht="12" customHeight="1" x14ac:dyDescent="0.3">
      <c r="A40" s="214" t="s">
        <v>19</v>
      </c>
      <c r="B40" s="205">
        <v>-1148</v>
      </c>
      <c r="C40" s="205">
        <v>171</v>
      </c>
      <c r="D40" s="205">
        <v>256</v>
      </c>
      <c r="E40" s="205">
        <v>999</v>
      </c>
      <c r="F40" s="205">
        <v>134</v>
      </c>
      <c r="G40" s="205">
        <v>156</v>
      </c>
      <c r="H40" s="205">
        <v>963</v>
      </c>
      <c r="I40" s="205">
        <v>2529</v>
      </c>
      <c r="J40" s="205">
        <v>2321</v>
      </c>
      <c r="K40" s="205">
        <v>2226</v>
      </c>
      <c r="L40" s="205">
        <v>1233</v>
      </c>
      <c r="M40" s="205">
        <v>1642</v>
      </c>
      <c r="N40" s="205">
        <v>1145</v>
      </c>
      <c r="O40" s="205">
        <v>361</v>
      </c>
      <c r="P40" s="205">
        <v>4</v>
      </c>
      <c r="Q40" s="205">
        <v>-81</v>
      </c>
      <c r="R40" s="205">
        <v>-899</v>
      </c>
      <c r="S40" s="205">
        <v>1803</v>
      </c>
      <c r="T40" s="205">
        <v>3576</v>
      </c>
      <c r="U40" s="205">
        <v>3644</v>
      </c>
      <c r="V40" s="205">
        <v>2442</v>
      </c>
      <c r="W40" s="209" t="s">
        <v>19</v>
      </c>
    </row>
    <row r="41" spans="1:23" s="199" customFormat="1" ht="12" customHeight="1" x14ac:dyDescent="0.3">
      <c r="A41" s="214" t="s">
        <v>20</v>
      </c>
      <c r="B41" s="205">
        <v>-812</v>
      </c>
      <c r="C41" s="205">
        <v>-44</v>
      </c>
      <c r="D41" s="205">
        <v>236</v>
      </c>
      <c r="E41" s="205">
        <v>741</v>
      </c>
      <c r="F41" s="205">
        <v>88</v>
      </c>
      <c r="G41" s="205">
        <v>101</v>
      </c>
      <c r="H41" s="205">
        <v>565</v>
      </c>
      <c r="I41" s="205">
        <v>1709</v>
      </c>
      <c r="J41" s="205">
        <v>1652</v>
      </c>
      <c r="K41" s="205">
        <v>1556</v>
      </c>
      <c r="L41" s="205">
        <v>1100</v>
      </c>
      <c r="M41" s="205">
        <v>1324</v>
      </c>
      <c r="N41" s="205">
        <v>1093</v>
      </c>
      <c r="O41" s="205">
        <v>338</v>
      </c>
      <c r="P41" s="205">
        <v>393</v>
      </c>
      <c r="Q41" s="205">
        <v>165</v>
      </c>
      <c r="R41" s="205">
        <v>-565</v>
      </c>
      <c r="S41" s="205">
        <v>1242</v>
      </c>
      <c r="T41" s="205">
        <v>2079</v>
      </c>
      <c r="U41" s="205">
        <v>2146</v>
      </c>
      <c r="V41" s="205">
        <v>1804</v>
      </c>
      <c r="W41" s="209" t="s">
        <v>20</v>
      </c>
    </row>
    <row r="42" spans="1:23" s="199" customFormat="1" ht="12" customHeight="1" x14ac:dyDescent="0.3">
      <c r="A42" s="214" t="s">
        <v>21</v>
      </c>
      <c r="B42" s="205">
        <v>-171</v>
      </c>
      <c r="C42" s="205">
        <v>49</v>
      </c>
      <c r="D42" s="205">
        <v>390</v>
      </c>
      <c r="E42" s="205">
        <v>717</v>
      </c>
      <c r="F42" s="205">
        <v>435</v>
      </c>
      <c r="G42" s="205">
        <v>365</v>
      </c>
      <c r="H42" s="205">
        <v>436</v>
      </c>
      <c r="I42" s="205">
        <v>1925</v>
      </c>
      <c r="J42" s="205">
        <v>1738</v>
      </c>
      <c r="K42" s="205">
        <v>1759</v>
      </c>
      <c r="L42" s="205">
        <v>946</v>
      </c>
      <c r="M42" s="205">
        <v>1211</v>
      </c>
      <c r="N42" s="205">
        <v>817</v>
      </c>
      <c r="O42" s="205">
        <v>483</v>
      </c>
      <c r="P42" s="205">
        <v>341</v>
      </c>
      <c r="Q42" s="205">
        <v>271</v>
      </c>
      <c r="R42" s="205">
        <v>-571</v>
      </c>
      <c r="S42" s="205">
        <v>1008</v>
      </c>
      <c r="T42" s="205">
        <v>2097</v>
      </c>
      <c r="U42" s="205">
        <v>2369</v>
      </c>
      <c r="V42" s="205">
        <v>1776</v>
      </c>
      <c r="W42" s="209" t="s">
        <v>21</v>
      </c>
    </row>
    <row r="43" spans="1:23" s="199" customFormat="1" ht="12" customHeight="1" x14ac:dyDescent="0.3">
      <c r="A43" s="214" t="s">
        <v>22</v>
      </c>
      <c r="B43" s="205">
        <v>110</v>
      </c>
      <c r="C43" s="205">
        <v>262</v>
      </c>
      <c r="D43" s="205">
        <v>414</v>
      </c>
      <c r="E43" s="205">
        <v>811</v>
      </c>
      <c r="F43" s="205">
        <v>490</v>
      </c>
      <c r="G43" s="205">
        <v>297</v>
      </c>
      <c r="H43" s="205">
        <v>450</v>
      </c>
      <c r="I43" s="205">
        <v>1347</v>
      </c>
      <c r="J43" s="205">
        <v>1549</v>
      </c>
      <c r="K43" s="205">
        <v>1445</v>
      </c>
      <c r="L43" s="205">
        <v>970</v>
      </c>
      <c r="M43" s="205">
        <v>1063</v>
      </c>
      <c r="N43" s="205">
        <v>568</v>
      </c>
      <c r="O43" s="205">
        <v>593</v>
      </c>
      <c r="P43" s="205">
        <v>682</v>
      </c>
      <c r="Q43" s="205">
        <v>188</v>
      </c>
      <c r="R43" s="205">
        <v>-400</v>
      </c>
      <c r="S43" s="205">
        <v>875</v>
      </c>
      <c r="T43" s="205">
        <v>1609</v>
      </c>
      <c r="U43" s="205">
        <v>1922</v>
      </c>
      <c r="V43" s="205">
        <v>1437</v>
      </c>
      <c r="W43" s="209" t="s">
        <v>22</v>
      </c>
    </row>
    <row r="44" spans="1:23" s="199" customFormat="1" ht="12" customHeight="1" x14ac:dyDescent="0.3">
      <c r="A44" s="214" t="s">
        <v>314</v>
      </c>
      <c r="B44" s="205">
        <v>-3</v>
      </c>
      <c r="C44" s="205">
        <v>1063</v>
      </c>
      <c r="D44" s="205">
        <v>1371</v>
      </c>
      <c r="E44" s="205">
        <v>2159</v>
      </c>
      <c r="F44" s="205">
        <v>1485</v>
      </c>
      <c r="G44" s="205">
        <v>1143</v>
      </c>
      <c r="H44" s="205">
        <v>1553</v>
      </c>
      <c r="I44" s="205">
        <v>3456</v>
      </c>
      <c r="J44" s="205">
        <v>3422</v>
      </c>
      <c r="K44" s="205">
        <v>3178</v>
      </c>
      <c r="L44" s="205">
        <v>2720</v>
      </c>
      <c r="M44" s="205">
        <v>3389</v>
      </c>
      <c r="N44" s="205">
        <v>2476</v>
      </c>
      <c r="O44" s="205">
        <v>2225</v>
      </c>
      <c r="P44" s="205">
        <v>2247</v>
      </c>
      <c r="Q44" s="205">
        <v>1297</v>
      </c>
      <c r="R44" s="205">
        <v>649</v>
      </c>
      <c r="S44" s="205">
        <v>3394</v>
      </c>
      <c r="T44" s="205">
        <v>4627</v>
      </c>
      <c r="U44" s="205">
        <v>5065</v>
      </c>
      <c r="V44" s="205">
        <v>4486</v>
      </c>
      <c r="W44" s="209" t="s">
        <v>314</v>
      </c>
    </row>
    <row r="45" spans="1:23" s="199" customFormat="1" ht="12" customHeight="1" x14ac:dyDescent="0.3">
      <c r="A45" s="21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9"/>
    </row>
    <row r="46" spans="1:23" s="199" customFormat="1" ht="12" customHeight="1" x14ac:dyDescent="0.3">
      <c r="A46" s="214" t="s">
        <v>299</v>
      </c>
      <c r="B46" s="205">
        <v>-2135</v>
      </c>
      <c r="C46" s="205">
        <v>763</v>
      </c>
      <c r="D46" s="205">
        <v>1495</v>
      </c>
      <c r="E46" s="205">
        <v>6942</v>
      </c>
      <c r="F46" s="205">
        <v>4673</v>
      </c>
      <c r="G46" s="205">
        <v>1241</v>
      </c>
      <c r="H46" s="205">
        <v>690</v>
      </c>
      <c r="I46" s="205">
        <v>8728</v>
      </c>
      <c r="J46" s="205">
        <v>8347</v>
      </c>
      <c r="K46" s="205">
        <v>7571</v>
      </c>
      <c r="L46" s="205">
        <v>2927</v>
      </c>
      <c r="M46" s="205">
        <v>2755</v>
      </c>
      <c r="N46" s="205">
        <v>1415</v>
      </c>
      <c r="O46" s="205">
        <v>-959</v>
      </c>
      <c r="P46" s="205">
        <v>-2408</v>
      </c>
      <c r="Q46" s="205">
        <v>-3847</v>
      </c>
      <c r="R46" s="205">
        <v>-8622</v>
      </c>
      <c r="S46" s="205">
        <v>-65</v>
      </c>
      <c r="T46" s="205">
        <v>3990</v>
      </c>
      <c r="U46" s="205">
        <v>4323</v>
      </c>
      <c r="V46" s="205">
        <v>3519</v>
      </c>
      <c r="W46" s="209" t="s">
        <v>299</v>
      </c>
    </row>
    <row r="47" spans="1:23" s="199" customFormat="1" ht="12" customHeight="1" x14ac:dyDescent="0.3">
      <c r="A47" s="214" t="s">
        <v>300</v>
      </c>
      <c r="B47" s="205">
        <v>-1912</v>
      </c>
      <c r="C47" s="205">
        <v>756</v>
      </c>
      <c r="D47" s="205">
        <v>1689</v>
      </c>
      <c r="E47" s="205">
        <v>3848</v>
      </c>
      <c r="F47" s="205">
        <v>1588</v>
      </c>
      <c r="G47" s="205">
        <v>1353</v>
      </c>
      <c r="H47" s="205">
        <v>2886</v>
      </c>
      <c r="I47" s="205">
        <v>8620</v>
      </c>
      <c r="J47" s="205">
        <v>8341</v>
      </c>
      <c r="K47" s="205">
        <v>7972</v>
      </c>
      <c r="L47" s="205">
        <v>4913</v>
      </c>
      <c r="M47" s="205">
        <v>6332</v>
      </c>
      <c r="N47" s="205">
        <v>4268</v>
      </c>
      <c r="O47" s="205">
        <v>2303</v>
      </c>
      <c r="P47" s="205">
        <v>1903</v>
      </c>
      <c r="Q47" s="205">
        <v>687</v>
      </c>
      <c r="R47" s="205">
        <v>-2611</v>
      </c>
      <c r="S47" s="205">
        <v>5972</v>
      </c>
      <c r="T47" s="205">
        <v>10992</v>
      </c>
      <c r="U47" s="205">
        <v>11826</v>
      </c>
      <c r="V47" s="205">
        <v>8812</v>
      </c>
      <c r="W47" s="209" t="s">
        <v>300</v>
      </c>
    </row>
    <row r="48" spans="1:23" s="199" customFormat="1" ht="12" customHeight="1" x14ac:dyDescent="0.3">
      <c r="A48" s="214"/>
      <c r="B48" s="207"/>
      <c r="C48" s="207"/>
      <c r="D48" s="207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9"/>
    </row>
    <row r="49" spans="1:23" s="199" customFormat="1" ht="12" customHeight="1" x14ac:dyDescent="0.3">
      <c r="A49" s="234" t="s">
        <v>295</v>
      </c>
      <c r="B49" s="205">
        <v>120353</v>
      </c>
      <c r="C49" s="205">
        <v>103258</v>
      </c>
      <c r="D49" s="205">
        <v>90917</v>
      </c>
      <c r="E49" s="205">
        <v>84953</v>
      </c>
      <c r="F49" s="205">
        <v>87670</v>
      </c>
      <c r="G49" s="205">
        <v>81342</v>
      </c>
      <c r="H49" s="205">
        <v>127890</v>
      </c>
      <c r="I49" s="205">
        <v>87972</v>
      </c>
      <c r="J49" s="205">
        <v>88357</v>
      </c>
      <c r="K49" s="205">
        <v>83189</v>
      </c>
      <c r="L49" s="205">
        <v>77433</v>
      </c>
      <c r="M49" s="205">
        <v>114620</v>
      </c>
      <c r="N49" s="205">
        <v>137303</v>
      </c>
      <c r="O49" s="205">
        <v>114026</v>
      </c>
      <c r="P49" s="205">
        <v>144787</v>
      </c>
      <c r="Q49" s="205">
        <v>100149</v>
      </c>
      <c r="R49" s="205">
        <v>126280</v>
      </c>
      <c r="S49" s="205">
        <v>122682</v>
      </c>
      <c r="T49" s="205">
        <v>43136</v>
      </c>
      <c r="U49" s="205">
        <v>35106</v>
      </c>
      <c r="V49" s="205">
        <v>52618</v>
      </c>
      <c r="W49" s="235" t="s">
        <v>295</v>
      </c>
    </row>
    <row r="50" spans="1:23" s="199" customFormat="1" ht="12" customHeight="1" x14ac:dyDescent="0.3">
      <c r="A50" s="214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9"/>
    </row>
    <row r="51" spans="1:23" s="199" customFormat="1" ht="12" customHeight="1" x14ac:dyDescent="0.3">
      <c r="A51" s="214" t="s">
        <v>11</v>
      </c>
      <c r="B51" s="206">
        <v>9811</v>
      </c>
      <c r="C51" s="205">
        <v>9231</v>
      </c>
      <c r="D51" s="206">
        <v>9877</v>
      </c>
      <c r="E51" s="205">
        <v>8881</v>
      </c>
      <c r="F51" s="206">
        <v>8623</v>
      </c>
      <c r="G51" s="205">
        <v>8917</v>
      </c>
      <c r="H51" s="205">
        <v>13501</v>
      </c>
      <c r="I51" s="205">
        <v>8688</v>
      </c>
      <c r="J51" s="205">
        <v>8681</v>
      </c>
      <c r="K51" s="205">
        <v>9290</v>
      </c>
      <c r="L51" s="205">
        <v>8759</v>
      </c>
      <c r="M51" s="205">
        <v>11247</v>
      </c>
      <c r="N51" s="205">
        <v>13366</v>
      </c>
      <c r="O51" s="205">
        <v>11839</v>
      </c>
      <c r="P51" s="205">
        <v>15111</v>
      </c>
      <c r="Q51" s="205">
        <v>9864</v>
      </c>
      <c r="R51" s="205">
        <v>9600</v>
      </c>
      <c r="S51" s="205">
        <v>7367</v>
      </c>
      <c r="T51" s="205">
        <v>3438</v>
      </c>
      <c r="U51" s="205">
        <v>2876</v>
      </c>
      <c r="V51" s="205">
        <v>4288</v>
      </c>
      <c r="W51" s="209" t="s">
        <v>11</v>
      </c>
    </row>
    <row r="52" spans="1:23" s="199" customFormat="1" ht="12" customHeight="1" x14ac:dyDescent="0.3">
      <c r="A52" s="214" t="s">
        <v>12</v>
      </c>
      <c r="B52" s="206">
        <v>4380</v>
      </c>
      <c r="C52" s="205">
        <v>3145</v>
      </c>
      <c r="D52" s="206">
        <v>3269</v>
      </c>
      <c r="E52" s="205">
        <v>2430</v>
      </c>
      <c r="F52" s="206">
        <v>2290</v>
      </c>
      <c r="G52" s="205">
        <v>2598</v>
      </c>
      <c r="H52" s="205">
        <v>5236</v>
      </c>
      <c r="I52" s="205">
        <v>2573</v>
      </c>
      <c r="J52" s="205">
        <v>2883</v>
      </c>
      <c r="K52" s="205">
        <v>3191</v>
      </c>
      <c r="L52" s="205">
        <v>2627</v>
      </c>
      <c r="M52" s="205">
        <v>3926</v>
      </c>
      <c r="N52" s="205">
        <v>5724</v>
      </c>
      <c r="O52" s="205">
        <v>5197</v>
      </c>
      <c r="P52" s="205">
        <v>7397</v>
      </c>
      <c r="Q52" s="205">
        <v>3742</v>
      </c>
      <c r="R52" s="205">
        <v>4854</v>
      </c>
      <c r="S52" s="205">
        <v>4443</v>
      </c>
      <c r="T52" s="205">
        <v>555</v>
      </c>
      <c r="U52" s="205">
        <v>144</v>
      </c>
      <c r="V52" s="205">
        <v>94</v>
      </c>
      <c r="W52" s="209" t="s">
        <v>12</v>
      </c>
    </row>
    <row r="53" spans="1:23" s="199" customFormat="1" ht="12" customHeight="1" x14ac:dyDescent="0.3">
      <c r="A53" s="214" t="s">
        <v>13</v>
      </c>
      <c r="B53" s="206">
        <v>275</v>
      </c>
      <c r="C53" s="205">
        <v>-538</v>
      </c>
      <c r="D53" s="206">
        <v>-1054</v>
      </c>
      <c r="E53" s="205">
        <v>-1424</v>
      </c>
      <c r="F53" s="206">
        <v>-592</v>
      </c>
      <c r="G53" s="205">
        <v>-734</v>
      </c>
      <c r="H53" s="205">
        <v>1589</v>
      </c>
      <c r="I53" s="205">
        <v>97</v>
      </c>
      <c r="J53" s="205">
        <v>1331</v>
      </c>
      <c r="K53" s="205">
        <v>875</v>
      </c>
      <c r="L53" s="205">
        <v>417</v>
      </c>
      <c r="M53" s="205">
        <v>1600</v>
      </c>
      <c r="N53" s="205">
        <v>2448</v>
      </c>
      <c r="O53" s="205">
        <v>1895</v>
      </c>
      <c r="P53" s="205">
        <v>3348</v>
      </c>
      <c r="Q53" s="205">
        <v>1216</v>
      </c>
      <c r="R53" s="205">
        <v>2226</v>
      </c>
      <c r="S53" s="205">
        <v>2386</v>
      </c>
      <c r="T53" s="205">
        <v>-50</v>
      </c>
      <c r="U53" s="205">
        <v>-338</v>
      </c>
      <c r="V53" s="205">
        <v>-447</v>
      </c>
      <c r="W53" s="209" t="s">
        <v>13</v>
      </c>
    </row>
    <row r="54" spans="1:23" s="199" customFormat="1" ht="12" customHeight="1" x14ac:dyDescent="0.3">
      <c r="A54" s="214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9"/>
    </row>
    <row r="55" spans="1:23" s="199" customFormat="1" ht="12" customHeight="1" x14ac:dyDescent="0.3">
      <c r="A55" s="214" t="s">
        <v>14</v>
      </c>
      <c r="B55" s="206">
        <v>3983</v>
      </c>
      <c r="C55" s="205">
        <v>2747</v>
      </c>
      <c r="D55" s="206">
        <v>2334</v>
      </c>
      <c r="E55" s="205">
        <v>2001</v>
      </c>
      <c r="F55" s="206">
        <v>1982</v>
      </c>
      <c r="G55" s="205">
        <v>2054</v>
      </c>
      <c r="H55" s="205">
        <v>3717</v>
      </c>
      <c r="I55" s="205">
        <v>2681</v>
      </c>
      <c r="J55" s="205">
        <v>3159</v>
      </c>
      <c r="K55" s="205">
        <v>2514</v>
      </c>
      <c r="L55" s="205">
        <v>1586</v>
      </c>
      <c r="M55" s="205">
        <v>2526</v>
      </c>
      <c r="N55" s="205">
        <v>3818</v>
      </c>
      <c r="O55" s="205">
        <v>2388</v>
      </c>
      <c r="P55" s="205">
        <v>2854</v>
      </c>
      <c r="Q55" s="205">
        <v>1889</v>
      </c>
      <c r="R55" s="205">
        <v>2814</v>
      </c>
      <c r="S55" s="205">
        <v>2920</v>
      </c>
      <c r="T55" s="205">
        <v>-586</v>
      </c>
      <c r="U55" s="205">
        <v>-843</v>
      </c>
      <c r="V55" s="205">
        <v>-1193</v>
      </c>
      <c r="W55" s="209" t="s">
        <v>14</v>
      </c>
    </row>
    <row r="56" spans="1:23" s="199" customFormat="1" ht="12" customHeight="1" x14ac:dyDescent="0.3">
      <c r="A56" s="214" t="s">
        <v>15</v>
      </c>
      <c r="B56" s="206">
        <v>9834</v>
      </c>
      <c r="C56" s="205">
        <v>7686</v>
      </c>
      <c r="D56" s="206">
        <v>5074</v>
      </c>
      <c r="E56" s="205">
        <v>2657</v>
      </c>
      <c r="F56" s="206">
        <v>2344</v>
      </c>
      <c r="G56" s="205">
        <v>2808</v>
      </c>
      <c r="H56" s="205">
        <v>5146</v>
      </c>
      <c r="I56" s="205">
        <v>2071</v>
      </c>
      <c r="J56" s="205">
        <v>2043</v>
      </c>
      <c r="K56" s="205">
        <v>1246</v>
      </c>
      <c r="L56" s="205">
        <v>290</v>
      </c>
      <c r="M56" s="205">
        <v>2604</v>
      </c>
      <c r="N56" s="205">
        <v>3289</v>
      </c>
      <c r="O56" s="205">
        <v>449</v>
      </c>
      <c r="P56" s="205">
        <v>360</v>
      </c>
      <c r="Q56" s="205">
        <v>-268</v>
      </c>
      <c r="R56" s="205">
        <v>3775</v>
      </c>
      <c r="S56" s="205">
        <v>1538</v>
      </c>
      <c r="T56" s="205">
        <v>-6569</v>
      </c>
      <c r="U56" s="205">
        <v>-5217</v>
      </c>
      <c r="V56" s="205">
        <v>-4522</v>
      </c>
      <c r="W56" s="209" t="s">
        <v>15</v>
      </c>
    </row>
    <row r="57" spans="1:23" s="199" customFormat="1" ht="12" customHeight="1" x14ac:dyDescent="0.3">
      <c r="A57" s="214" t="s">
        <v>16</v>
      </c>
      <c r="B57" s="206">
        <v>22113</v>
      </c>
      <c r="C57" s="205">
        <v>19259</v>
      </c>
      <c r="D57" s="206">
        <v>15759</v>
      </c>
      <c r="E57" s="205">
        <v>11679</v>
      </c>
      <c r="F57" s="206">
        <v>9542</v>
      </c>
      <c r="G57" s="205">
        <v>9577</v>
      </c>
      <c r="H57" s="205">
        <v>14733</v>
      </c>
      <c r="I57" s="205">
        <v>8439</v>
      </c>
      <c r="J57" s="205">
        <v>6757</v>
      </c>
      <c r="K57" s="205">
        <v>5290</v>
      </c>
      <c r="L57" s="205">
        <v>4693</v>
      </c>
      <c r="M57" s="205">
        <v>6853</v>
      </c>
      <c r="N57" s="205">
        <v>7464</v>
      </c>
      <c r="O57" s="205">
        <v>4443</v>
      </c>
      <c r="P57" s="205">
        <v>4303</v>
      </c>
      <c r="Q57" s="205">
        <v>2550</v>
      </c>
      <c r="R57" s="205">
        <v>5595</v>
      </c>
      <c r="S57" s="205">
        <v>5526</v>
      </c>
      <c r="T57" s="205">
        <v>-2897</v>
      </c>
      <c r="U57" s="205">
        <v>-3420</v>
      </c>
      <c r="V57" s="205">
        <v>946</v>
      </c>
      <c r="W57" s="209" t="s">
        <v>16</v>
      </c>
    </row>
    <row r="58" spans="1:23" s="199" customFormat="1" ht="12" customHeight="1" x14ac:dyDescent="0.3">
      <c r="A58" s="214" t="s">
        <v>17</v>
      </c>
      <c r="B58" s="205">
        <v>22355</v>
      </c>
      <c r="C58" s="205">
        <v>20953</v>
      </c>
      <c r="D58" s="205">
        <v>19614</v>
      </c>
      <c r="E58" s="205">
        <v>18464</v>
      </c>
      <c r="F58" s="205">
        <v>16356</v>
      </c>
      <c r="G58" s="205">
        <v>15292</v>
      </c>
      <c r="H58" s="205">
        <v>23460</v>
      </c>
      <c r="I58" s="205">
        <v>16113</v>
      </c>
      <c r="J58" s="205">
        <v>16395</v>
      </c>
      <c r="K58" s="205">
        <v>17153</v>
      </c>
      <c r="L58" s="205">
        <v>15873</v>
      </c>
      <c r="M58" s="205">
        <v>18607</v>
      </c>
      <c r="N58" s="205">
        <v>19623</v>
      </c>
      <c r="O58" s="205">
        <v>15785</v>
      </c>
      <c r="P58" s="205">
        <v>19175</v>
      </c>
      <c r="Q58" s="205">
        <v>14851</v>
      </c>
      <c r="R58" s="205">
        <v>16450</v>
      </c>
      <c r="S58" s="205">
        <v>18814</v>
      </c>
      <c r="T58" s="205">
        <v>9676</v>
      </c>
      <c r="U58" s="205">
        <v>8167</v>
      </c>
      <c r="V58" s="205">
        <v>11218</v>
      </c>
      <c r="W58" s="209" t="s">
        <v>17</v>
      </c>
    </row>
    <row r="59" spans="1:23" s="199" customFormat="1" ht="12" customHeight="1" x14ac:dyDescent="0.3">
      <c r="A59" s="214" t="s">
        <v>18</v>
      </c>
      <c r="B59" s="205">
        <v>9735</v>
      </c>
      <c r="C59" s="205">
        <v>8867</v>
      </c>
      <c r="D59" s="205">
        <v>8350</v>
      </c>
      <c r="E59" s="205">
        <v>8835</v>
      </c>
      <c r="F59" s="205">
        <v>10424</v>
      </c>
      <c r="G59" s="205">
        <v>10698</v>
      </c>
      <c r="H59" s="205">
        <v>16912</v>
      </c>
      <c r="I59" s="205">
        <v>11507</v>
      </c>
      <c r="J59" s="205">
        <v>11287</v>
      </c>
      <c r="K59" s="205">
        <v>10839</v>
      </c>
      <c r="L59" s="205">
        <v>10224</v>
      </c>
      <c r="M59" s="205">
        <v>15050</v>
      </c>
      <c r="N59" s="205">
        <v>18029</v>
      </c>
      <c r="O59" s="205">
        <v>17183</v>
      </c>
      <c r="P59" s="205">
        <v>23524</v>
      </c>
      <c r="Q59" s="205">
        <v>16857</v>
      </c>
      <c r="R59" s="205">
        <v>18848</v>
      </c>
      <c r="S59" s="205">
        <v>17513</v>
      </c>
      <c r="T59" s="205">
        <v>8385</v>
      </c>
      <c r="U59" s="205">
        <v>6462</v>
      </c>
      <c r="V59" s="205">
        <v>8607</v>
      </c>
      <c r="W59" s="209" t="s">
        <v>18</v>
      </c>
    </row>
    <row r="60" spans="1:23" s="199" customFormat="1" ht="12" customHeight="1" x14ac:dyDescent="0.3">
      <c r="A60" s="214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9"/>
    </row>
    <row r="61" spans="1:23" s="199" customFormat="1" ht="12" customHeight="1" x14ac:dyDescent="0.3">
      <c r="A61" s="214" t="s">
        <v>19</v>
      </c>
      <c r="B61" s="205">
        <v>5738</v>
      </c>
      <c r="C61" s="205">
        <v>3515</v>
      </c>
      <c r="D61" s="205">
        <v>2018</v>
      </c>
      <c r="E61" s="205">
        <v>2564</v>
      </c>
      <c r="F61" s="205">
        <v>3396</v>
      </c>
      <c r="G61" s="205">
        <v>3457</v>
      </c>
      <c r="H61" s="205">
        <v>6887</v>
      </c>
      <c r="I61" s="205">
        <v>5236</v>
      </c>
      <c r="J61" s="205">
        <v>6191</v>
      </c>
      <c r="K61" s="205">
        <v>5297</v>
      </c>
      <c r="L61" s="205">
        <v>5617</v>
      </c>
      <c r="M61" s="205">
        <v>8064</v>
      </c>
      <c r="N61" s="205">
        <v>10733</v>
      </c>
      <c r="O61" s="205">
        <v>8989</v>
      </c>
      <c r="P61" s="205">
        <v>13021</v>
      </c>
      <c r="Q61" s="205">
        <v>8491</v>
      </c>
      <c r="R61" s="205">
        <v>11288</v>
      </c>
      <c r="S61" s="205">
        <v>10823</v>
      </c>
      <c r="T61" s="205">
        <v>4268</v>
      </c>
      <c r="U61" s="205">
        <v>3616</v>
      </c>
      <c r="V61" s="205">
        <v>4284</v>
      </c>
      <c r="W61" s="209" t="s">
        <v>19</v>
      </c>
    </row>
    <row r="62" spans="1:23" s="199" customFormat="1" ht="12" customHeight="1" x14ac:dyDescent="0.3">
      <c r="A62" s="214" t="s">
        <v>20</v>
      </c>
      <c r="B62" s="205">
        <v>7456</v>
      </c>
      <c r="C62" s="205">
        <v>5737</v>
      </c>
      <c r="D62" s="205">
        <v>4499</v>
      </c>
      <c r="E62" s="205">
        <v>4980</v>
      </c>
      <c r="F62" s="205">
        <v>5534</v>
      </c>
      <c r="G62" s="205">
        <v>4687</v>
      </c>
      <c r="H62" s="205">
        <v>6605</v>
      </c>
      <c r="I62" s="205">
        <v>4496</v>
      </c>
      <c r="J62" s="205">
        <v>4961</v>
      </c>
      <c r="K62" s="205">
        <v>4061</v>
      </c>
      <c r="L62" s="205">
        <v>3900</v>
      </c>
      <c r="M62" s="205">
        <v>6212</v>
      </c>
      <c r="N62" s="205">
        <v>8503</v>
      </c>
      <c r="O62" s="205">
        <v>7398</v>
      </c>
      <c r="P62" s="205">
        <v>10316</v>
      </c>
      <c r="Q62" s="205">
        <v>7506</v>
      </c>
      <c r="R62" s="205">
        <v>9341</v>
      </c>
      <c r="S62" s="205">
        <v>8658</v>
      </c>
      <c r="T62" s="205">
        <v>3622</v>
      </c>
      <c r="U62" s="205">
        <v>2597</v>
      </c>
      <c r="V62" s="205">
        <v>2544</v>
      </c>
      <c r="W62" s="209" t="s">
        <v>20</v>
      </c>
    </row>
    <row r="63" spans="1:23" s="199" customFormat="1" ht="12" customHeight="1" x14ac:dyDescent="0.3">
      <c r="A63" s="214" t="s">
        <v>21</v>
      </c>
      <c r="B63" s="205">
        <v>6674</v>
      </c>
      <c r="C63" s="205">
        <v>5770</v>
      </c>
      <c r="D63" s="205">
        <v>4952</v>
      </c>
      <c r="E63" s="205">
        <v>6048</v>
      </c>
      <c r="F63" s="205">
        <v>6659</v>
      </c>
      <c r="G63" s="205">
        <v>5596</v>
      </c>
      <c r="H63" s="205">
        <v>8108</v>
      </c>
      <c r="I63" s="205">
        <v>6121</v>
      </c>
      <c r="J63" s="205">
        <v>6333</v>
      </c>
      <c r="K63" s="205">
        <v>5196</v>
      </c>
      <c r="L63" s="205">
        <v>4760</v>
      </c>
      <c r="M63" s="205">
        <v>7227</v>
      </c>
      <c r="N63" s="205">
        <v>8775</v>
      </c>
      <c r="O63" s="205">
        <v>7619</v>
      </c>
      <c r="P63" s="205">
        <v>9099</v>
      </c>
      <c r="Q63" s="205">
        <v>7203</v>
      </c>
      <c r="R63" s="205">
        <v>9535</v>
      </c>
      <c r="S63" s="205">
        <v>9573</v>
      </c>
      <c r="T63" s="205">
        <v>4609</v>
      </c>
      <c r="U63" s="205">
        <v>3661</v>
      </c>
      <c r="V63" s="205">
        <v>4627</v>
      </c>
      <c r="W63" s="209" t="s">
        <v>21</v>
      </c>
    </row>
    <row r="64" spans="1:23" s="199" customFormat="1" ht="12" customHeight="1" x14ac:dyDescent="0.3">
      <c r="A64" s="214" t="s">
        <v>22</v>
      </c>
      <c r="B64" s="205">
        <v>5880</v>
      </c>
      <c r="C64" s="205">
        <v>5324</v>
      </c>
      <c r="D64" s="205">
        <v>4978</v>
      </c>
      <c r="E64" s="205">
        <v>5616</v>
      </c>
      <c r="F64" s="205">
        <v>6195</v>
      </c>
      <c r="G64" s="205">
        <v>5281</v>
      </c>
      <c r="H64" s="205">
        <v>7006</v>
      </c>
      <c r="I64" s="205">
        <v>6082</v>
      </c>
      <c r="J64" s="205">
        <v>6004</v>
      </c>
      <c r="K64" s="205">
        <v>5639</v>
      </c>
      <c r="L64" s="205">
        <v>5827</v>
      </c>
      <c r="M64" s="205">
        <v>9096</v>
      </c>
      <c r="N64" s="205">
        <v>10830</v>
      </c>
      <c r="O64" s="205">
        <v>8887</v>
      </c>
      <c r="P64" s="205">
        <v>10367</v>
      </c>
      <c r="Q64" s="205">
        <v>8069</v>
      </c>
      <c r="R64" s="205">
        <v>8807</v>
      </c>
      <c r="S64" s="205">
        <v>8714</v>
      </c>
      <c r="T64" s="205">
        <v>4724</v>
      </c>
      <c r="U64" s="205">
        <v>4245</v>
      </c>
      <c r="V64" s="205">
        <v>5477</v>
      </c>
      <c r="W64" s="209" t="s">
        <v>22</v>
      </c>
    </row>
    <row r="65" spans="1:23" s="199" customFormat="1" ht="12" customHeight="1" x14ac:dyDescent="0.3">
      <c r="A65" s="214" t="s">
        <v>314</v>
      </c>
      <c r="B65" s="205">
        <v>12119</v>
      </c>
      <c r="C65" s="205">
        <v>11562</v>
      </c>
      <c r="D65" s="205">
        <v>11247</v>
      </c>
      <c r="E65" s="205">
        <v>12222</v>
      </c>
      <c r="F65" s="205">
        <v>14917</v>
      </c>
      <c r="G65" s="205">
        <v>11111</v>
      </c>
      <c r="H65" s="205">
        <v>14990</v>
      </c>
      <c r="I65" s="205">
        <v>13868</v>
      </c>
      <c r="J65" s="205">
        <v>12332</v>
      </c>
      <c r="K65" s="205">
        <v>12598</v>
      </c>
      <c r="L65" s="205">
        <v>12860</v>
      </c>
      <c r="M65" s="205">
        <v>21608</v>
      </c>
      <c r="N65" s="205">
        <v>24701</v>
      </c>
      <c r="O65" s="205">
        <v>21954</v>
      </c>
      <c r="P65" s="205">
        <v>25912</v>
      </c>
      <c r="Q65" s="205">
        <v>18179</v>
      </c>
      <c r="R65" s="205">
        <v>23147</v>
      </c>
      <c r="S65" s="205">
        <v>24407</v>
      </c>
      <c r="T65" s="205">
        <v>13961</v>
      </c>
      <c r="U65" s="205">
        <v>13156</v>
      </c>
      <c r="V65" s="205">
        <v>16695</v>
      </c>
      <c r="W65" s="209" t="s">
        <v>314</v>
      </c>
    </row>
    <row r="66" spans="1:23" s="199" customFormat="1" ht="12" customHeight="1" x14ac:dyDescent="0.3">
      <c r="A66" s="214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9"/>
    </row>
    <row r="67" spans="1:23" s="199" customFormat="1" ht="12" customHeight="1" x14ac:dyDescent="0.3">
      <c r="A67" s="214" t="s">
        <v>299</v>
      </c>
      <c r="B67" s="205">
        <v>55413</v>
      </c>
      <c r="C67" s="205">
        <v>48722</v>
      </c>
      <c r="D67" s="205">
        <v>41160</v>
      </c>
      <c r="E67" s="205">
        <v>33612</v>
      </c>
      <c r="F67" s="205">
        <v>28967</v>
      </c>
      <c r="G67" s="205">
        <v>28244</v>
      </c>
      <c r="H67" s="205">
        <v>44123</v>
      </c>
      <c r="I67" s="205">
        <v>26923</v>
      </c>
      <c r="J67" s="205">
        <v>25378</v>
      </c>
      <c r="K67" s="205">
        <v>23804</v>
      </c>
      <c r="L67" s="205">
        <v>20864</v>
      </c>
      <c r="M67" s="205">
        <v>28142</v>
      </c>
      <c r="N67" s="205">
        <v>30823</v>
      </c>
      <c r="O67" s="205">
        <v>20594</v>
      </c>
      <c r="P67" s="205">
        <v>23791</v>
      </c>
      <c r="Q67" s="205">
        <v>16694</v>
      </c>
      <c r="R67" s="205">
        <v>25899</v>
      </c>
      <c r="S67" s="205">
        <v>25950</v>
      </c>
      <c r="T67" s="205">
        <v>-1069</v>
      </c>
      <c r="U67" s="205">
        <v>-1927</v>
      </c>
      <c r="V67" s="205">
        <v>6230</v>
      </c>
      <c r="W67" s="209" t="s">
        <v>299</v>
      </c>
    </row>
    <row r="68" spans="1:23" s="199" customFormat="1" ht="12" customHeight="1" x14ac:dyDescent="0.3">
      <c r="A68" s="214" t="s">
        <v>300</v>
      </c>
      <c r="B68" s="205">
        <v>30781</v>
      </c>
      <c r="C68" s="205">
        <v>25133</v>
      </c>
      <c r="D68" s="205">
        <v>21018</v>
      </c>
      <c r="E68" s="205">
        <v>23916</v>
      </c>
      <c r="F68" s="205">
        <v>27632</v>
      </c>
      <c r="G68" s="205">
        <v>23423</v>
      </c>
      <c r="H68" s="205">
        <v>34462</v>
      </c>
      <c r="I68" s="205">
        <v>26892</v>
      </c>
      <c r="J68" s="205">
        <v>28159</v>
      </c>
      <c r="K68" s="205">
        <v>24694</v>
      </c>
      <c r="L68" s="205">
        <v>24651</v>
      </c>
      <c r="M68" s="205">
        <v>38117</v>
      </c>
      <c r="N68" s="205">
        <v>47707</v>
      </c>
      <c r="O68" s="205">
        <v>40710</v>
      </c>
      <c r="P68" s="205">
        <v>52139</v>
      </c>
      <c r="Q68" s="205">
        <v>37899</v>
      </c>
      <c r="R68" s="205">
        <v>47363</v>
      </c>
      <c r="S68" s="205">
        <v>46446</v>
      </c>
      <c r="T68" s="205">
        <v>21634</v>
      </c>
      <c r="U68" s="205">
        <v>18442</v>
      </c>
      <c r="V68" s="205">
        <v>22203</v>
      </c>
      <c r="W68" s="209" t="s">
        <v>300</v>
      </c>
    </row>
    <row r="69" spans="1:23" s="199" customFormat="1" ht="11.1" customHeight="1" thickBot="1" x14ac:dyDescent="0.35">
      <c r="A69" s="211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2"/>
    </row>
  </sheetData>
  <mergeCells count="4">
    <mergeCell ref="A1:K1"/>
    <mergeCell ref="L1:W1"/>
    <mergeCell ref="A3:A5"/>
    <mergeCell ref="W3:W5"/>
  </mergeCells>
  <phoneticPr fontId="1" type="noConversion"/>
  <conditionalFormatting sqref="B7:V68">
    <cfRule type="cellIs" dxfId="1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6" fitToWidth="2" orientation="portrait" r:id="rId1"/>
  <colBreaks count="1" manualBreakCount="1">
    <brk id="11" max="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69"/>
  <sheetViews>
    <sheetView showGridLines="0" view="pageBreakPreview" zoomScale="115" zoomScaleNormal="115" zoomScaleSheetLayoutView="115" workbookViewId="0">
      <selection sqref="A1:K1"/>
    </sheetView>
  </sheetViews>
  <sheetFormatPr defaultRowHeight="16.5" x14ac:dyDescent="0.3"/>
  <cols>
    <col min="1" max="1" width="13.875" style="178" bestFit="1" customWidth="1"/>
    <col min="2" max="11" width="7.875" style="172" customWidth="1"/>
    <col min="12" max="22" width="7.125" style="172" customWidth="1"/>
    <col min="23" max="23" width="13.875" style="178" bestFit="1" customWidth="1"/>
    <col min="24" max="16384" width="9" style="172"/>
  </cols>
  <sheetData>
    <row r="1" spans="1:23" s="210" customFormat="1" ht="25.5" customHeight="1" x14ac:dyDescent="0.3">
      <c r="A1" s="287" t="s">
        <v>322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8" t="s">
        <v>304</v>
      </c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</row>
    <row r="2" spans="1:23" ht="12.75" customHeight="1" thickBot="1" x14ac:dyDescent="0.35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5" t="s">
        <v>23</v>
      </c>
    </row>
    <row r="3" spans="1:23" ht="12.75" customHeight="1" x14ac:dyDescent="0.3">
      <c r="A3" s="276" t="s">
        <v>305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2"/>
      <c r="U3" s="163"/>
      <c r="V3" s="162"/>
      <c r="W3" s="273" t="s">
        <v>306</v>
      </c>
    </row>
    <row r="4" spans="1:23" s="199" customFormat="1" ht="12.75" customHeight="1" x14ac:dyDescent="0.3">
      <c r="A4" s="277"/>
      <c r="B4" s="164">
        <v>2004</v>
      </c>
      <c r="C4" s="164">
        <v>2005</v>
      </c>
      <c r="D4" s="164">
        <v>2006</v>
      </c>
      <c r="E4" s="164">
        <v>2007</v>
      </c>
      <c r="F4" s="164">
        <v>2008</v>
      </c>
      <c r="G4" s="164">
        <v>2009</v>
      </c>
      <c r="H4" s="164">
        <v>2010</v>
      </c>
      <c r="I4" s="164">
        <v>2011</v>
      </c>
      <c r="J4" s="164">
        <f t="shared" ref="J4:O4" si="0">K4-1</f>
        <v>2012</v>
      </c>
      <c r="K4" s="164">
        <f t="shared" si="0"/>
        <v>2013</v>
      </c>
      <c r="L4" s="164">
        <f t="shared" si="0"/>
        <v>2014</v>
      </c>
      <c r="M4" s="164">
        <f t="shared" si="0"/>
        <v>2015</v>
      </c>
      <c r="N4" s="164">
        <f t="shared" si="0"/>
        <v>2016</v>
      </c>
      <c r="O4" s="164">
        <f t="shared" si="0"/>
        <v>2017</v>
      </c>
      <c r="P4" s="164">
        <v>2018</v>
      </c>
      <c r="Q4" s="164">
        <v>2019</v>
      </c>
      <c r="R4" s="164">
        <v>2020</v>
      </c>
      <c r="S4" s="164">
        <v>2021</v>
      </c>
      <c r="T4" s="147">
        <v>2022</v>
      </c>
      <c r="U4" s="164">
        <v>2023</v>
      </c>
      <c r="V4" s="146">
        <v>2024</v>
      </c>
      <c r="W4" s="274"/>
    </row>
    <row r="5" spans="1:23" s="199" customFormat="1" ht="12.75" customHeight="1" x14ac:dyDescent="0.3">
      <c r="A5" s="278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65"/>
      <c r="V5" s="161"/>
      <c r="W5" s="275"/>
    </row>
    <row r="6" spans="1:23" s="199" customFormat="1" ht="11.1" customHeight="1" x14ac:dyDescent="0.3">
      <c r="A6" s="214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9"/>
    </row>
    <row r="7" spans="1:23" s="199" customFormat="1" ht="12" customHeight="1" x14ac:dyDescent="0.3">
      <c r="A7" s="234" t="s">
        <v>293</v>
      </c>
      <c r="B7" s="205">
        <v>65693</v>
      </c>
      <c r="C7" s="205">
        <v>58062</v>
      </c>
      <c r="D7" s="205">
        <v>60396</v>
      </c>
      <c r="E7" s="205">
        <v>51822</v>
      </c>
      <c r="F7" s="205">
        <v>40913</v>
      </c>
      <c r="G7" s="205">
        <v>34600</v>
      </c>
      <c r="H7" s="205">
        <v>20161</v>
      </c>
      <c r="I7" s="205">
        <v>6939</v>
      </c>
      <c r="J7" s="205">
        <v>13737</v>
      </c>
      <c r="K7" s="205">
        <v>8194</v>
      </c>
      <c r="L7" s="205">
        <v>4085</v>
      </c>
      <c r="M7" s="205">
        <v>-6131</v>
      </c>
      <c r="N7" s="205">
        <v>7405</v>
      </c>
      <c r="O7" s="205">
        <v>17456</v>
      </c>
      <c r="P7" s="205">
        <v>33804</v>
      </c>
      <c r="Q7" s="205">
        <v>46177</v>
      </c>
      <c r="R7" s="205">
        <v>46108</v>
      </c>
      <c r="S7" s="205">
        <v>29180</v>
      </c>
      <c r="T7" s="205">
        <v>36394</v>
      </c>
      <c r="U7" s="205">
        <v>34292</v>
      </c>
      <c r="V7" s="205">
        <v>30099</v>
      </c>
      <c r="W7" s="235" t="s">
        <v>293</v>
      </c>
    </row>
    <row r="8" spans="1:23" s="199" customFormat="1" ht="12" customHeight="1" x14ac:dyDescent="0.3">
      <c r="A8" s="214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9"/>
    </row>
    <row r="9" spans="1:23" s="199" customFormat="1" ht="12" customHeight="1" x14ac:dyDescent="0.3">
      <c r="A9" s="214" t="s">
        <v>11</v>
      </c>
      <c r="B9" s="206">
        <v>930</v>
      </c>
      <c r="C9" s="205">
        <v>-886</v>
      </c>
      <c r="D9" s="206">
        <v>-653</v>
      </c>
      <c r="E9" s="205">
        <v>-1215</v>
      </c>
      <c r="F9" s="206">
        <v>-1388</v>
      </c>
      <c r="G9" s="205">
        <v>-1603</v>
      </c>
      <c r="H9" s="205">
        <v>-2219</v>
      </c>
      <c r="I9" s="205">
        <v>-2696</v>
      </c>
      <c r="J9" s="205">
        <v>-2630</v>
      </c>
      <c r="K9" s="205">
        <v>-2842</v>
      </c>
      <c r="L9" s="205">
        <v>-3294</v>
      </c>
      <c r="M9" s="205">
        <v>-3408</v>
      </c>
      <c r="N9" s="205">
        <v>-3062</v>
      </c>
      <c r="O9" s="205">
        <v>-2149</v>
      </c>
      <c r="P9" s="205">
        <v>-1436</v>
      </c>
      <c r="Q9" s="205">
        <v>-1033</v>
      </c>
      <c r="R9" s="205">
        <v>-925</v>
      </c>
      <c r="S9" s="205">
        <v>-946</v>
      </c>
      <c r="T9" s="205">
        <v>-783</v>
      </c>
      <c r="U9" s="205">
        <v>-487</v>
      </c>
      <c r="V9" s="205">
        <v>-369</v>
      </c>
      <c r="W9" s="209" t="s">
        <v>11</v>
      </c>
    </row>
    <row r="10" spans="1:23" s="199" customFormat="1" ht="12" customHeight="1" x14ac:dyDescent="0.3">
      <c r="A10" s="214" t="s">
        <v>12</v>
      </c>
      <c r="B10" s="206">
        <v>2521</v>
      </c>
      <c r="C10" s="205">
        <v>1483</v>
      </c>
      <c r="D10" s="206">
        <v>1044</v>
      </c>
      <c r="E10" s="205">
        <v>470</v>
      </c>
      <c r="F10" s="206">
        <v>555</v>
      </c>
      <c r="G10" s="205">
        <v>-86</v>
      </c>
      <c r="H10" s="205">
        <v>-592</v>
      </c>
      <c r="I10" s="205">
        <v>-870</v>
      </c>
      <c r="J10" s="205">
        <v>-1036</v>
      </c>
      <c r="K10" s="205">
        <v>-1175</v>
      </c>
      <c r="L10" s="205">
        <v>-1681</v>
      </c>
      <c r="M10" s="205">
        <v>-2042</v>
      </c>
      <c r="N10" s="205">
        <v>-1630</v>
      </c>
      <c r="O10" s="205">
        <v>-1000</v>
      </c>
      <c r="P10" s="205">
        <v>-718</v>
      </c>
      <c r="Q10" s="205">
        <v>-233</v>
      </c>
      <c r="R10" s="205">
        <v>-414</v>
      </c>
      <c r="S10" s="205">
        <v>-512</v>
      </c>
      <c r="T10" s="205">
        <v>-430</v>
      </c>
      <c r="U10" s="205">
        <v>392</v>
      </c>
      <c r="V10" s="205">
        <v>-13</v>
      </c>
      <c r="W10" s="209" t="s">
        <v>12</v>
      </c>
    </row>
    <row r="11" spans="1:23" s="199" customFormat="1" ht="12" customHeight="1" x14ac:dyDescent="0.3">
      <c r="A11" s="214" t="s">
        <v>13</v>
      </c>
      <c r="B11" s="206">
        <v>3839</v>
      </c>
      <c r="C11" s="205">
        <v>2696</v>
      </c>
      <c r="D11" s="206">
        <v>2544</v>
      </c>
      <c r="E11" s="205">
        <v>1597</v>
      </c>
      <c r="F11" s="206">
        <v>1859</v>
      </c>
      <c r="G11" s="205">
        <v>1381</v>
      </c>
      <c r="H11" s="205">
        <v>863</v>
      </c>
      <c r="I11" s="205">
        <v>131</v>
      </c>
      <c r="J11" s="205">
        <v>-42</v>
      </c>
      <c r="K11" s="205">
        <v>-131</v>
      </c>
      <c r="L11" s="205">
        <v>-347</v>
      </c>
      <c r="M11" s="205">
        <v>-687</v>
      </c>
      <c r="N11" s="205">
        <v>-539</v>
      </c>
      <c r="O11" s="205">
        <v>-86</v>
      </c>
      <c r="P11" s="205">
        <v>111</v>
      </c>
      <c r="Q11" s="205">
        <v>313</v>
      </c>
      <c r="R11" s="205">
        <v>223</v>
      </c>
      <c r="S11" s="205">
        <v>75</v>
      </c>
      <c r="T11" s="205">
        <v>334</v>
      </c>
      <c r="U11" s="205">
        <v>532</v>
      </c>
      <c r="V11" s="205">
        <v>252</v>
      </c>
      <c r="W11" s="209" t="s">
        <v>13</v>
      </c>
    </row>
    <row r="12" spans="1:23" s="199" customFormat="1" ht="12" customHeight="1" x14ac:dyDescent="0.3">
      <c r="A12" s="214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9"/>
    </row>
    <row r="13" spans="1:23" s="199" customFormat="1" ht="12" customHeight="1" x14ac:dyDescent="0.3">
      <c r="A13" s="214" t="s">
        <v>14</v>
      </c>
      <c r="B13" s="206">
        <v>6726</v>
      </c>
      <c r="C13" s="205">
        <v>5950</v>
      </c>
      <c r="D13" s="206">
        <v>5609</v>
      </c>
      <c r="E13" s="205">
        <v>4864</v>
      </c>
      <c r="F13" s="206">
        <v>4550</v>
      </c>
      <c r="G13" s="205">
        <v>4749</v>
      </c>
      <c r="H13" s="205">
        <v>3996</v>
      </c>
      <c r="I13" s="205">
        <v>2871</v>
      </c>
      <c r="J13" s="205">
        <v>3820</v>
      </c>
      <c r="K13" s="205">
        <v>3433</v>
      </c>
      <c r="L13" s="205">
        <v>4228</v>
      </c>
      <c r="M13" s="205">
        <v>3828</v>
      </c>
      <c r="N13" s="205">
        <v>4763</v>
      </c>
      <c r="O13" s="205">
        <v>4863</v>
      </c>
      <c r="P13" s="205">
        <v>5580</v>
      </c>
      <c r="Q13" s="205">
        <v>6449</v>
      </c>
      <c r="R13" s="205">
        <v>5794</v>
      </c>
      <c r="S13" s="205">
        <v>5107</v>
      </c>
      <c r="T13" s="205">
        <v>7294</v>
      </c>
      <c r="U13" s="205">
        <v>6755</v>
      </c>
      <c r="V13" s="205">
        <v>6906</v>
      </c>
      <c r="W13" s="209" t="s">
        <v>14</v>
      </c>
    </row>
    <row r="14" spans="1:23" s="199" customFormat="1" ht="12" customHeight="1" x14ac:dyDescent="0.3">
      <c r="A14" s="214" t="s">
        <v>15</v>
      </c>
      <c r="B14" s="206">
        <v>25146</v>
      </c>
      <c r="C14" s="205">
        <v>24721</v>
      </c>
      <c r="D14" s="206">
        <v>25041</v>
      </c>
      <c r="E14" s="205">
        <v>22954</v>
      </c>
      <c r="F14" s="206">
        <v>19193</v>
      </c>
      <c r="G14" s="205">
        <v>18365</v>
      </c>
      <c r="H14" s="205">
        <v>16859</v>
      </c>
      <c r="I14" s="205">
        <v>15832</v>
      </c>
      <c r="J14" s="205">
        <v>19018</v>
      </c>
      <c r="K14" s="205">
        <v>17918</v>
      </c>
      <c r="L14" s="205">
        <v>18701</v>
      </c>
      <c r="M14" s="205">
        <v>17435</v>
      </c>
      <c r="N14" s="205">
        <v>20843</v>
      </c>
      <c r="O14" s="205">
        <v>21420</v>
      </c>
      <c r="P14" s="205">
        <v>23796</v>
      </c>
      <c r="Q14" s="205">
        <v>27521</v>
      </c>
      <c r="R14" s="205">
        <v>29033</v>
      </c>
      <c r="S14" s="205">
        <v>25735</v>
      </c>
      <c r="T14" s="205">
        <v>28177</v>
      </c>
      <c r="U14" s="205">
        <v>23577</v>
      </c>
      <c r="V14" s="205">
        <v>21633</v>
      </c>
      <c r="W14" s="209" t="s">
        <v>15</v>
      </c>
    </row>
    <row r="15" spans="1:23" s="199" customFormat="1" ht="12" customHeight="1" x14ac:dyDescent="0.3">
      <c r="A15" s="214" t="s">
        <v>16</v>
      </c>
      <c r="B15" s="206">
        <v>17736</v>
      </c>
      <c r="C15" s="205">
        <v>18046</v>
      </c>
      <c r="D15" s="206">
        <v>19889</v>
      </c>
      <c r="E15" s="205">
        <v>20718</v>
      </c>
      <c r="F15" s="206">
        <v>17901</v>
      </c>
      <c r="G15" s="205">
        <v>15707</v>
      </c>
      <c r="H15" s="205">
        <v>14321</v>
      </c>
      <c r="I15" s="205">
        <v>13057</v>
      </c>
      <c r="J15" s="205">
        <v>14750</v>
      </c>
      <c r="K15" s="205">
        <v>12324</v>
      </c>
      <c r="L15" s="205">
        <v>12878</v>
      </c>
      <c r="M15" s="205">
        <v>9930</v>
      </c>
      <c r="N15" s="205">
        <v>12300</v>
      </c>
      <c r="O15" s="205">
        <v>14497</v>
      </c>
      <c r="P15" s="205">
        <v>18227</v>
      </c>
      <c r="Q15" s="205">
        <v>19667</v>
      </c>
      <c r="R15" s="205">
        <v>19126</v>
      </c>
      <c r="S15" s="205">
        <v>15060</v>
      </c>
      <c r="T15" s="205">
        <v>16055</v>
      </c>
      <c r="U15" s="205">
        <v>14474</v>
      </c>
      <c r="V15" s="205">
        <v>12098</v>
      </c>
      <c r="W15" s="209" t="s">
        <v>16</v>
      </c>
    </row>
    <row r="16" spans="1:23" s="199" customFormat="1" ht="12" customHeight="1" x14ac:dyDescent="0.3">
      <c r="A16" s="214" t="s">
        <v>17</v>
      </c>
      <c r="B16" s="205">
        <v>1802</v>
      </c>
      <c r="C16" s="205">
        <v>1189</v>
      </c>
      <c r="D16" s="205">
        <v>1883</v>
      </c>
      <c r="E16" s="205">
        <v>1198</v>
      </c>
      <c r="F16" s="205">
        <v>683</v>
      </c>
      <c r="G16" s="205">
        <v>86</v>
      </c>
      <c r="H16" s="205">
        <v>-1908</v>
      </c>
      <c r="I16" s="205">
        <v>-2311</v>
      </c>
      <c r="J16" s="205">
        <v>-1726</v>
      </c>
      <c r="K16" s="205">
        <v>-2231</v>
      </c>
      <c r="L16" s="205">
        <v>-3382</v>
      </c>
      <c r="M16" s="205">
        <v>-4416</v>
      </c>
      <c r="N16" s="205">
        <v>-2670</v>
      </c>
      <c r="O16" s="205">
        <v>-768</v>
      </c>
      <c r="P16" s="205">
        <v>1735</v>
      </c>
      <c r="Q16" s="205">
        <v>2739</v>
      </c>
      <c r="R16" s="205">
        <v>3219</v>
      </c>
      <c r="S16" s="205">
        <v>375</v>
      </c>
      <c r="T16" s="205">
        <v>1004</v>
      </c>
      <c r="U16" s="205">
        <v>887</v>
      </c>
      <c r="V16" s="205">
        <v>364</v>
      </c>
      <c r="W16" s="209" t="s">
        <v>17</v>
      </c>
    </row>
    <row r="17" spans="1:23" s="199" customFormat="1" ht="12" customHeight="1" x14ac:dyDescent="0.3">
      <c r="A17" s="214" t="s">
        <v>18</v>
      </c>
      <c r="B17" s="205">
        <v>1445</v>
      </c>
      <c r="C17" s="205">
        <v>1002</v>
      </c>
      <c r="D17" s="205">
        <v>606</v>
      </c>
      <c r="E17" s="205">
        <v>-423</v>
      </c>
      <c r="F17" s="205">
        <v>-981</v>
      </c>
      <c r="G17" s="205">
        <v>-1773</v>
      </c>
      <c r="H17" s="205">
        <v>-3355</v>
      </c>
      <c r="I17" s="205">
        <v>-3952</v>
      </c>
      <c r="J17" s="205">
        <v>-3744</v>
      </c>
      <c r="K17" s="205">
        <v>-4084</v>
      </c>
      <c r="L17" s="205">
        <v>-5031</v>
      </c>
      <c r="M17" s="205">
        <v>-5644</v>
      </c>
      <c r="N17" s="205">
        <v>-4505</v>
      </c>
      <c r="O17" s="205">
        <v>-3277</v>
      </c>
      <c r="P17" s="205">
        <v>-2164</v>
      </c>
      <c r="Q17" s="205">
        <v>-1202</v>
      </c>
      <c r="R17" s="205">
        <v>-807</v>
      </c>
      <c r="S17" s="205">
        <v>-1883</v>
      </c>
      <c r="T17" s="205">
        <v>-1608</v>
      </c>
      <c r="U17" s="205">
        <v>-914</v>
      </c>
      <c r="V17" s="205">
        <v>-957</v>
      </c>
      <c r="W17" s="209" t="s">
        <v>18</v>
      </c>
    </row>
    <row r="18" spans="1:23" s="199" customFormat="1" ht="12" customHeight="1" x14ac:dyDescent="0.3">
      <c r="A18" s="214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9"/>
    </row>
    <row r="19" spans="1:23" s="199" customFormat="1" ht="12" customHeight="1" x14ac:dyDescent="0.3">
      <c r="A19" s="214" t="s">
        <v>19</v>
      </c>
      <c r="B19" s="205">
        <v>1857</v>
      </c>
      <c r="C19" s="205">
        <v>1421</v>
      </c>
      <c r="D19" s="205">
        <v>1362</v>
      </c>
      <c r="E19" s="205">
        <v>666</v>
      </c>
      <c r="F19" s="205">
        <v>-10</v>
      </c>
      <c r="G19" s="205">
        <v>-391</v>
      </c>
      <c r="H19" s="205">
        <v>-1432</v>
      </c>
      <c r="I19" s="205">
        <v>-2713</v>
      </c>
      <c r="J19" s="205">
        <v>-2590</v>
      </c>
      <c r="K19" s="205">
        <v>-2871</v>
      </c>
      <c r="L19" s="205">
        <v>-3853</v>
      </c>
      <c r="M19" s="205">
        <v>-4529</v>
      </c>
      <c r="N19" s="205">
        <v>-3099</v>
      </c>
      <c r="O19" s="205">
        <v>-2256</v>
      </c>
      <c r="P19" s="205">
        <v>-1600</v>
      </c>
      <c r="Q19" s="205">
        <v>-872</v>
      </c>
      <c r="R19" s="205">
        <v>-816</v>
      </c>
      <c r="S19" s="205">
        <v>-1667</v>
      </c>
      <c r="T19" s="205">
        <v>-1517</v>
      </c>
      <c r="U19" s="205">
        <v>-803</v>
      </c>
      <c r="V19" s="205">
        <v>-814</v>
      </c>
      <c r="W19" s="209" t="s">
        <v>19</v>
      </c>
    </row>
    <row r="20" spans="1:23" s="199" customFormat="1" ht="12" customHeight="1" x14ac:dyDescent="0.3">
      <c r="A20" s="214" t="s">
        <v>20</v>
      </c>
      <c r="B20" s="205">
        <v>1219</v>
      </c>
      <c r="C20" s="205">
        <v>948</v>
      </c>
      <c r="D20" s="205">
        <v>934</v>
      </c>
      <c r="E20" s="205">
        <v>223</v>
      </c>
      <c r="F20" s="205">
        <v>-276</v>
      </c>
      <c r="G20" s="205">
        <v>-9</v>
      </c>
      <c r="H20" s="205">
        <v>-1150</v>
      </c>
      <c r="I20" s="205">
        <v>-2102</v>
      </c>
      <c r="J20" s="205">
        <v>-1822</v>
      </c>
      <c r="K20" s="205">
        <v>-2259</v>
      </c>
      <c r="L20" s="205">
        <v>-2538</v>
      </c>
      <c r="M20" s="205">
        <v>-3055</v>
      </c>
      <c r="N20" s="205">
        <v>-2692</v>
      </c>
      <c r="O20" s="205">
        <v>-2298</v>
      </c>
      <c r="P20" s="205">
        <v>-1125</v>
      </c>
      <c r="Q20" s="205">
        <v>-932</v>
      </c>
      <c r="R20" s="205">
        <v>-1071</v>
      </c>
      <c r="S20" s="205">
        <v>-1587</v>
      </c>
      <c r="T20" s="205">
        <v>-1253</v>
      </c>
      <c r="U20" s="205">
        <v>-893</v>
      </c>
      <c r="V20" s="205">
        <v>-976</v>
      </c>
      <c r="W20" s="209" t="s">
        <v>20</v>
      </c>
    </row>
    <row r="21" spans="1:23" s="199" customFormat="1" ht="12" customHeight="1" x14ac:dyDescent="0.3">
      <c r="A21" s="214" t="s">
        <v>21</v>
      </c>
      <c r="B21" s="205">
        <v>315</v>
      </c>
      <c r="C21" s="205">
        <v>94</v>
      </c>
      <c r="D21" s="205">
        <v>174</v>
      </c>
      <c r="E21" s="205">
        <v>-80</v>
      </c>
      <c r="F21" s="205">
        <v>-357</v>
      </c>
      <c r="G21" s="205">
        <v>-667</v>
      </c>
      <c r="H21" s="205">
        <v>-1019</v>
      </c>
      <c r="I21" s="205">
        <v>-2449</v>
      </c>
      <c r="J21" s="205">
        <v>-2724</v>
      </c>
      <c r="K21" s="205">
        <v>-2357</v>
      </c>
      <c r="L21" s="205">
        <v>-2864</v>
      </c>
      <c r="M21" s="205">
        <v>-3184</v>
      </c>
      <c r="N21" s="205">
        <v>-2892</v>
      </c>
      <c r="O21" s="205">
        <v>-2265</v>
      </c>
      <c r="P21" s="205">
        <v>-1462</v>
      </c>
      <c r="Q21" s="205">
        <v>-1224</v>
      </c>
      <c r="R21" s="205">
        <v>-1297</v>
      </c>
      <c r="S21" s="205">
        <v>-2094</v>
      </c>
      <c r="T21" s="205">
        <v>-2038</v>
      </c>
      <c r="U21" s="205">
        <v>-1609</v>
      </c>
      <c r="V21" s="205">
        <v>-1603</v>
      </c>
      <c r="W21" s="209" t="s">
        <v>21</v>
      </c>
    </row>
    <row r="22" spans="1:23" s="199" customFormat="1" ht="12" customHeight="1" x14ac:dyDescent="0.3">
      <c r="A22" s="214" t="s">
        <v>22</v>
      </c>
      <c r="B22" s="205">
        <v>199</v>
      </c>
      <c r="C22" s="205">
        <v>-222</v>
      </c>
      <c r="D22" s="205">
        <v>27</v>
      </c>
      <c r="E22" s="205">
        <v>-110</v>
      </c>
      <c r="F22" s="205">
        <v>-402</v>
      </c>
      <c r="G22" s="205">
        <v>-429</v>
      </c>
      <c r="H22" s="205">
        <v>-1351</v>
      </c>
      <c r="I22" s="205">
        <v>-2584</v>
      </c>
      <c r="J22" s="205">
        <v>-2590</v>
      </c>
      <c r="K22" s="205">
        <v>-2551</v>
      </c>
      <c r="L22" s="205">
        <v>-3064</v>
      </c>
      <c r="M22" s="205">
        <v>-3681</v>
      </c>
      <c r="N22" s="205">
        <v>-3509</v>
      </c>
      <c r="O22" s="205">
        <v>-2954</v>
      </c>
      <c r="P22" s="205">
        <v>-2360</v>
      </c>
      <c r="Q22" s="205">
        <v>-1553</v>
      </c>
      <c r="R22" s="205">
        <v>-1743</v>
      </c>
      <c r="S22" s="205">
        <v>-2474</v>
      </c>
      <c r="T22" s="205">
        <v>-2447</v>
      </c>
      <c r="U22" s="205">
        <v>-2124</v>
      </c>
      <c r="V22" s="205">
        <v>-1787</v>
      </c>
      <c r="W22" s="209" t="s">
        <v>22</v>
      </c>
    </row>
    <row r="23" spans="1:23" s="199" customFormat="1" ht="12" customHeight="1" x14ac:dyDescent="0.3">
      <c r="A23" s="214" t="s">
        <v>279</v>
      </c>
      <c r="B23" s="205">
        <v>1958</v>
      </c>
      <c r="C23" s="205">
        <v>1620</v>
      </c>
      <c r="D23" s="205">
        <v>1936</v>
      </c>
      <c r="E23" s="205">
        <v>960</v>
      </c>
      <c r="F23" s="205">
        <v>-414</v>
      </c>
      <c r="G23" s="205">
        <v>-730</v>
      </c>
      <c r="H23" s="205">
        <v>-2852</v>
      </c>
      <c r="I23" s="205">
        <v>-5275</v>
      </c>
      <c r="J23" s="205">
        <v>-4947</v>
      </c>
      <c r="K23" s="205">
        <v>-4980</v>
      </c>
      <c r="L23" s="205">
        <v>-5668</v>
      </c>
      <c r="M23" s="205">
        <v>-6678</v>
      </c>
      <c r="N23" s="205">
        <v>-5903</v>
      </c>
      <c r="O23" s="205">
        <v>-6271</v>
      </c>
      <c r="P23" s="205">
        <v>-4780</v>
      </c>
      <c r="Q23" s="205">
        <v>-3463</v>
      </c>
      <c r="R23" s="205">
        <v>-4214</v>
      </c>
      <c r="S23" s="205">
        <v>-6009</v>
      </c>
      <c r="T23" s="205">
        <v>-6394</v>
      </c>
      <c r="U23" s="205">
        <v>-5495</v>
      </c>
      <c r="V23" s="205">
        <v>-4635</v>
      </c>
      <c r="W23" s="209" t="s">
        <v>279</v>
      </c>
    </row>
    <row r="24" spans="1:23" s="199" customFormat="1" ht="12" customHeight="1" x14ac:dyDescent="0.3">
      <c r="A24" s="214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9"/>
    </row>
    <row r="25" spans="1:23" s="199" customFormat="1" ht="12" customHeight="1" x14ac:dyDescent="0.3">
      <c r="A25" s="214" t="s">
        <v>299</v>
      </c>
      <c r="B25" s="205">
        <v>46851</v>
      </c>
      <c r="C25" s="205">
        <v>46223</v>
      </c>
      <c r="D25" s="205">
        <v>48828</v>
      </c>
      <c r="E25" s="205">
        <v>46691</v>
      </c>
      <c r="F25" s="205">
        <v>39404</v>
      </c>
      <c r="G25" s="205">
        <v>35637</v>
      </c>
      <c r="H25" s="205">
        <v>30652</v>
      </c>
      <c r="I25" s="205">
        <v>27634</v>
      </c>
      <c r="J25" s="205">
        <v>33723</v>
      </c>
      <c r="K25" s="205">
        <v>29546</v>
      </c>
      <c r="L25" s="205">
        <v>29927</v>
      </c>
      <c r="M25" s="205">
        <v>24669</v>
      </c>
      <c r="N25" s="205">
        <v>32788</v>
      </c>
      <c r="O25" s="205">
        <v>37389</v>
      </c>
      <c r="P25" s="205">
        <v>46324</v>
      </c>
      <c r="Q25" s="205">
        <v>53059</v>
      </c>
      <c r="R25" s="205">
        <v>54505</v>
      </c>
      <c r="S25" s="205">
        <v>43966</v>
      </c>
      <c r="T25" s="205">
        <v>49119</v>
      </c>
      <c r="U25" s="205">
        <v>42445</v>
      </c>
      <c r="V25" s="205">
        <v>37759</v>
      </c>
      <c r="W25" s="209" t="s">
        <v>299</v>
      </c>
    </row>
    <row r="26" spans="1:23" s="199" customFormat="1" ht="12" customHeight="1" x14ac:dyDescent="0.3">
      <c r="A26" s="214" t="s">
        <v>300</v>
      </c>
      <c r="B26" s="205">
        <v>3608</v>
      </c>
      <c r="C26" s="205">
        <v>2089</v>
      </c>
      <c r="D26" s="205">
        <v>2488</v>
      </c>
      <c r="E26" s="205">
        <v>756</v>
      </c>
      <c r="F26" s="205">
        <v>-1829</v>
      </c>
      <c r="G26" s="205">
        <v>-2052</v>
      </c>
      <c r="H26" s="205">
        <v>-6231</v>
      </c>
      <c r="I26" s="205">
        <v>-11871</v>
      </c>
      <c r="J26" s="205">
        <v>-11660</v>
      </c>
      <c r="K26" s="205">
        <v>-12076</v>
      </c>
      <c r="L26" s="205">
        <v>-14509</v>
      </c>
      <c r="M26" s="205">
        <v>-17247</v>
      </c>
      <c r="N26" s="205">
        <v>-14896</v>
      </c>
      <c r="O26" s="205">
        <v>-12423</v>
      </c>
      <c r="P26" s="205">
        <v>-8518</v>
      </c>
      <c r="Q26" s="205">
        <v>-5867</v>
      </c>
      <c r="R26" s="205">
        <v>-6461</v>
      </c>
      <c r="S26" s="205">
        <v>-10363</v>
      </c>
      <c r="T26" s="205">
        <v>-9821</v>
      </c>
      <c r="U26" s="205">
        <v>-7750</v>
      </c>
      <c r="V26" s="205">
        <v>-6904</v>
      </c>
      <c r="W26" s="209" t="s">
        <v>300</v>
      </c>
    </row>
    <row r="27" spans="1:23" s="199" customFormat="1" ht="12" customHeight="1" x14ac:dyDescent="0.3">
      <c r="A27" s="214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9"/>
    </row>
    <row r="28" spans="1:23" s="199" customFormat="1" ht="12" customHeight="1" x14ac:dyDescent="0.3">
      <c r="A28" s="234" t="s">
        <v>294</v>
      </c>
      <c r="B28" s="205">
        <v>6121</v>
      </c>
      <c r="C28" s="205">
        <v>5154</v>
      </c>
      <c r="D28" s="205">
        <v>3588</v>
      </c>
      <c r="E28" s="205">
        <v>2969</v>
      </c>
      <c r="F28" s="205">
        <v>-1818</v>
      </c>
      <c r="G28" s="205">
        <v>-3424</v>
      </c>
      <c r="H28" s="205">
        <v>-3682</v>
      </c>
      <c r="I28" s="205">
        <v>-3216</v>
      </c>
      <c r="J28" s="205">
        <v>-1233</v>
      </c>
      <c r="K28" s="205">
        <v>-3520</v>
      </c>
      <c r="L28" s="205">
        <v>-5159</v>
      </c>
      <c r="M28" s="205">
        <v>-6967</v>
      </c>
      <c r="N28" s="205">
        <v>-4582</v>
      </c>
      <c r="O28" s="205">
        <v>-3586</v>
      </c>
      <c r="P28" s="205">
        <v>686</v>
      </c>
      <c r="Q28" s="205">
        <v>2047</v>
      </c>
      <c r="R28" s="205">
        <v>-426</v>
      </c>
      <c r="S28" s="205">
        <v>-1318</v>
      </c>
      <c r="T28" s="205">
        <v>-497</v>
      </c>
      <c r="U28" s="205">
        <v>3071</v>
      </c>
      <c r="V28" s="205">
        <v>3470</v>
      </c>
      <c r="W28" s="235" t="s">
        <v>294</v>
      </c>
    </row>
    <row r="29" spans="1:23" s="199" customFormat="1" ht="12" customHeight="1" x14ac:dyDescent="0.3">
      <c r="A29" s="214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9"/>
    </row>
    <row r="30" spans="1:23" s="199" customFormat="1" ht="12" customHeight="1" x14ac:dyDescent="0.3">
      <c r="A30" s="214" t="s">
        <v>11</v>
      </c>
      <c r="B30" s="206">
        <v>99</v>
      </c>
      <c r="C30" s="205">
        <v>-121</v>
      </c>
      <c r="D30" s="206">
        <v>-345</v>
      </c>
      <c r="E30" s="205">
        <v>-195</v>
      </c>
      <c r="F30" s="206">
        <v>-472</v>
      </c>
      <c r="G30" s="205">
        <v>-524</v>
      </c>
      <c r="H30" s="205">
        <v>-452</v>
      </c>
      <c r="I30" s="205">
        <v>-180</v>
      </c>
      <c r="J30" s="205">
        <v>-232</v>
      </c>
      <c r="K30" s="205">
        <v>-550</v>
      </c>
      <c r="L30" s="205">
        <v>-719</v>
      </c>
      <c r="M30" s="205">
        <v>-751</v>
      </c>
      <c r="N30" s="205">
        <v>-668</v>
      </c>
      <c r="O30" s="205">
        <v>-296</v>
      </c>
      <c r="P30" s="205">
        <v>-292</v>
      </c>
      <c r="Q30" s="205">
        <v>-275</v>
      </c>
      <c r="R30" s="205">
        <v>-246</v>
      </c>
      <c r="S30" s="205">
        <v>-198</v>
      </c>
      <c r="T30" s="205">
        <v>-112</v>
      </c>
      <c r="U30" s="205">
        <v>155</v>
      </c>
      <c r="V30" s="205">
        <v>171</v>
      </c>
      <c r="W30" s="209" t="s">
        <v>11</v>
      </c>
    </row>
    <row r="31" spans="1:23" s="199" customFormat="1" ht="12" customHeight="1" x14ac:dyDescent="0.3">
      <c r="A31" s="214" t="s">
        <v>12</v>
      </c>
      <c r="B31" s="206">
        <v>425</v>
      </c>
      <c r="C31" s="205">
        <v>186</v>
      </c>
      <c r="D31" s="206">
        <v>8</v>
      </c>
      <c r="E31" s="205">
        <v>-152</v>
      </c>
      <c r="F31" s="206">
        <v>-295</v>
      </c>
      <c r="G31" s="205">
        <v>-331</v>
      </c>
      <c r="H31" s="205">
        <v>-481</v>
      </c>
      <c r="I31" s="205">
        <v>-220</v>
      </c>
      <c r="J31" s="205">
        <v>-180</v>
      </c>
      <c r="K31" s="205">
        <v>-294</v>
      </c>
      <c r="L31" s="205">
        <v>-376</v>
      </c>
      <c r="M31" s="205">
        <v>-505</v>
      </c>
      <c r="N31" s="205">
        <v>-598</v>
      </c>
      <c r="O31" s="205">
        <v>-435</v>
      </c>
      <c r="P31" s="205">
        <v>-333</v>
      </c>
      <c r="Q31" s="205">
        <v>-80</v>
      </c>
      <c r="R31" s="205">
        <v>-226</v>
      </c>
      <c r="S31" s="205">
        <v>-241</v>
      </c>
      <c r="T31" s="205">
        <v>-73</v>
      </c>
      <c r="U31" s="205">
        <v>273</v>
      </c>
      <c r="V31" s="205">
        <v>35</v>
      </c>
      <c r="W31" s="209" t="s">
        <v>12</v>
      </c>
    </row>
    <row r="32" spans="1:23" s="199" customFormat="1" ht="12" customHeight="1" x14ac:dyDescent="0.3">
      <c r="A32" s="214" t="s">
        <v>13</v>
      </c>
      <c r="B32" s="206">
        <v>478</v>
      </c>
      <c r="C32" s="205">
        <v>211</v>
      </c>
      <c r="D32" s="206">
        <v>4</v>
      </c>
      <c r="E32" s="205">
        <v>21</v>
      </c>
      <c r="F32" s="206">
        <v>-82</v>
      </c>
      <c r="G32" s="205">
        <v>-114</v>
      </c>
      <c r="H32" s="205">
        <v>-99</v>
      </c>
      <c r="I32" s="205">
        <v>-144</v>
      </c>
      <c r="J32" s="205">
        <v>54</v>
      </c>
      <c r="K32" s="205">
        <v>-22</v>
      </c>
      <c r="L32" s="205">
        <v>-75</v>
      </c>
      <c r="M32" s="205">
        <v>-209</v>
      </c>
      <c r="N32" s="205">
        <v>-214</v>
      </c>
      <c r="O32" s="205">
        <v>-168</v>
      </c>
      <c r="P32" s="205">
        <v>-22</v>
      </c>
      <c r="Q32" s="205">
        <v>55</v>
      </c>
      <c r="R32" s="205">
        <v>-28</v>
      </c>
      <c r="S32" s="205">
        <v>-59</v>
      </c>
      <c r="T32" s="205">
        <v>6</v>
      </c>
      <c r="U32" s="205">
        <v>145</v>
      </c>
      <c r="V32" s="205">
        <v>90</v>
      </c>
      <c r="W32" s="209" t="s">
        <v>13</v>
      </c>
    </row>
    <row r="33" spans="1:23" s="199" customFormat="1" ht="12" customHeight="1" x14ac:dyDescent="0.3">
      <c r="A33" s="214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9"/>
    </row>
    <row r="34" spans="1:23" s="199" customFormat="1" ht="12" customHeight="1" x14ac:dyDescent="0.3">
      <c r="A34" s="214" t="s">
        <v>14</v>
      </c>
      <c r="B34" s="206">
        <v>232</v>
      </c>
      <c r="C34" s="205">
        <v>277</v>
      </c>
      <c r="D34" s="206">
        <v>244</v>
      </c>
      <c r="E34" s="205">
        <v>-29</v>
      </c>
      <c r="F34" s="206">
        <v>62</v>
      </c>
      <c r="G34" s="205">
        <v>-403</v>
      </c>
      <c r="H34" s="205">
        <v>-189</v>
      </c>
      <c r="I34" s="205">
        <v>-324</v>
      </c>
      <c r="J34" s="205">
        <v>-37</v>
      </c>
      <c r="K34" s="205">
        <v>-294</v>
      </c>
      <c r="L34" s="205">
        <v>-235</v>
      </c>
      <c r="M34" s="205">
        <v>-194</v>
      </c>
      <c r="N34" s="205">
        <v>10</v>
      </c>
      <c r="O34" s="205">
        <v>-90</v>
      </c>
      <c r="P34" s="205">
        <v>39</v>
      </c>
      <c r="Q34" s="205">
        <v>90</v>
      </c>
      <c r="R34" s="205">
        <v>286</v>
      </c>
      <c r="S34" s="205">
        <v>268</v>
      </c>
      <c r="T34" s="205">
        <v>208</v>
      </c>
      <c r="U34" s="205">
        <v>133</v>
      </c>
      <c r="V34" s="205">
        <v>328</v>
      </c>
      <c r="W34" s="209" t="s">
        <v>14</v>
      </c>
    </row>
    <row r="35" spans="1:23" s="199" customFormat="1" ht="12" customHeight="1" x14ac:dyDescent="0.3">
      <c r="A35" s="214" t="s">
        <v>15</v>
      </c>
      <c r="B35" s="206">
        <v>2533</v>
      </c>
      <c r="C35" s="205">
        <v>2585</v>
      </c>
      <c r="D35" s="206">
        <v>2204</v>
      </c>
      <c r="E35" s="205">
        <v>2170</v>
      </c>
      <c r="F35" s="206">
        <v>1389</v>
      </c>
      <c r="G35" s="205">
        <v>747</v>
      </c>
      <c r="H35" s="205">
        <v>1019</v>
      </c>
      <c r="I35" s="205">
        <v>635</v>
      </c>
      <c r="J35" s="205">
        <v>1307</v>
      </c>
      <c r="K35" s="205">
        <v>878</v>
      </c>
      <c r="L35" s="205">
        <v>927</v>
      </c>
      <c r="M35" s="205">
        <v>752</v>
      </c>
      <c r="N35" s="205">
        <v>1605</v>
      </c>
      <c r="O35" s="205">
        <v>1323</v>
      </c>
      <c r="P35" s="205">
        <v>1967</v>
      </c>
      <c r="Q35" s="205">
        <v>2315</v>
      </c>
      <c r="R35" s="205">
        <v>2324</v>
      </c>
      <c r="S35" s="205">
        <v>1657</v>
      </c>
      <c r="T35" s="205">
        <v>1586</v>
      </c>
      <c r="U35" s="205">
        <v>1724</v>
      </c>
      <c r="V35" s="205">
        <v>1874</v>
      </c>
      <c r="W35" s="209" t="s">
        <v>15</v>
      </c>
    </row>
    <row r="36" spans="1:23" s="199" customFormat="1" ht="12" customHeight="1" x14ac:dyDescent="0.3">
      <c r="A36" s="214" t="s">
        <v>16</v>
      </c>
      <c r="B36" s="206">
        <v>2232</v>
      </c>
      <c r="C36" s="205">
        <v>2213</v>
      </c>
      <c r="D36" s="206">
        <v>1781</v>
      </c>
      <c r="E36" s="205">
        <v>2375</v>
      </c>
      <c r="F36" s="206">
        <v>1386</v>
      </c>
      <c r="G36" s="205">
        <v>586</v>
      </c>
      <c r="H36" s="205">
        <v>561</v>
      </c>
      <c r="I36" s="205">
        <v>527</v>
      </c>
      <c r="J36" s="205">
        <v>840</v>
      </c>
      <c r="K36" s="205">
        <v>643</v>
      </c>
      <c r="L36" s="205">
        <v>531</v>
      </c>
      <c r="M36" s="205">
        <v>270</v>
      </c>
      <c r="N36" s="205">
        <v>642</v>
      </c>
      <c r="O36" s="205">
        <v>965</v>
      </c>
      <c r="P36" s="205">
        <v>1644</v>
      </c>
      <c r="Q36" s="205">
        <v>1591</v>
      </c>
      <c r="R36" s="205">
        <v>1138</v>
      </c>
      <c r="S36" s="205">
        <v>1238</v>
      </c>
      <c r="T36" s="205">
        <v>1298</v>
      </c>
      <c r="U36" s="205">
        <v>1450</v>
      </c>
      <c r="V36" s="205">
        <v>1753</v>
      </c>
      <c r="W36" s="209" t="s">
        <v>16</v>
      </c>
    </row>
    <row r="37" spans="1:23" s="199" customFormat="1" ht="12" customHeight="1" x14ac:dyDescent="0.3">
      <c r="A37" s="214" t="s">
        <v>17</v>
      </c>
      <c r="B37" s="205">
        <v>205</v>
      </c>
      <c r="C37" s="205">
        <v>242</v>
      </c>
      <c r="D37" s="205">
        <v>194</v>
      </c>
      <c r="E37" s="205">
        <v>137</v>
      </c>
      <c r="F37" s="205">
        <v>-233</v>
      </c>
      <c r="G37" s="205">
        <v>-543</v>
      </c>
      <c r="H37" s="205">
        <v>-467</v>
      </c>
      <c r="I37" s="205">
        <v>-313</v>
      </c>
      <c r="J37" s="205">
        <v>-81</v>
      </c>
      <c r="K37" s="205">
        <v>-179</v>
      </c>
      <c r="L37" s="205">
        <v>-594</v>
      </c>
      <c r="M37" s="205">
        <v>-761</v>
      </c>
      <c r="N37" s="205">
        <v>-480</v>
      </c>
      <c r="O37" s="205">
        <v>-76</v>
      </c>
      <c r="P37" s="205">
        <v>488</v>
      </c>
      <c r="Q37" s="205">
        <v>488</v>
      </c>
      <c r="R37" s="205">
        <v>65</v>
      </c>
      <c r="S37" s="205">
        <v>109</v>
      </c>
      <c r="T37" s="205">
        <v>176</v>
      </c>
      <c r="U37" s="205">
        <v>369</v>
      </c>
      <c r="V37" s="205">
        <v>426</v>
      </c>
      <c r="W37" s="209" t="s">
        <v>17</v>
      </c>
    </row>
    <row r="38" spans="1:23" s="199" customFormat="1" ht="12" customHeight="1" x14ac:dyDescent="0.3">
      <c r="A38" s="214" t="s">
        <v>18</v>
      </c>
      <c r="B38" s="205">
        <v>77</v>
      </c>
      <c r="C38" s="205">
        <v>-102</v>
      </c>
      <c r="D38" s="205">
        <v>-152</v>
      </c>
      <c r="E38" s="205">
        <v>-284</v>
      </c>
      <c r="F38" s="205">
        <v>-725</v>
      </c>
      <c r="G38" s="205">
        <v>-648</v>
      </c>
      <c r="H38" s="205">
        <v>-891</v>
      </c>
      <c r="I38" s="205">
        <v>-561</v>
      </c>
      <c r="J38" s="205">
        <v>-404</v>
      </c>
      <c r="K38" s="205">
        <v>-541</v>
      </c>
      <c r="L38" s="205">
        <v>-843</v>
      </c>
      <c r="M38" s="205">
        <v>-1010</v>
      </c>
      <c r="N38" s="205">
        <v>-855</v>
      </c>
      <c r="O38" s="205">
        <v>-716</v>
      </c>
      <c r="P38" s="205">
        <v>-196</v>
      </c>
      <c r="Q38" s="205">
        <v>-24</v>
      </c>
      <c r="R38" s="205">
        <v>-258</v>
      </c>
      <c r="S38" s="205">
        <v>-280</v>
      </c>
      <c r="T38" s="205">
        <v>-326</v>
      </c>
      <c r="U38" s="205">
        <v>232</v>
      </c>
      <c r="V38" s="205">
        <v>166</v>
      </c>
      <c r="W38" s="209" t="s">
        <v>18</v>
      </c>
    </row>
    <row r="39" spans="1:23" s="199" customFormat="1" ht="12" customHeight="1" x14ac:dyDescent="0.3">
      <c r="A39" s="21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9"/>
    </row>
    <row r="40" spans="1:23" s="199" customFormat="1" ht="12" customHeight="1" x14ac:dyDescent="0.3">
      <c r="A40" s="214" t="s">
        <v>19</v>
      </c>
      <c r="B40" s="205">
        <v>-105</v>
      </c>
      <c r="C40" s="205">
        <v>-160</v>
      </c>
      <c r="D40" s="205">
        <v>-173</v>
      </c>
      <c r="E40" s="205">
        <v>-375</v>
      </c>
      <c r="F40" s="205">
        <v>-579</v>
      </c>
      <c r="G40" s="205">
        <v>-662</v>
      </c>
      <c r="H40" s="205">
        <v>-560</v>
      </c>
      <c r="I40" s="205">
        <v>-594</v>
      </c>
      <c r="J40" s="205">
        <v>-439</v>
      </c>
      <c r="K40" s="205">
        <v>-523</v>
      </c>
      <c r="L40" s="205">
        <v>-718</v>
      </c>
      <c r="M40" s="205">
        <v>-911</v>
      </c>
      <c r="N40" s="205">
        <v>-742</v>
      </c>
      <c r="O40" s="205">
        <v>-698</v>
      </c>
      <c r="P40" s="205">
        <v>-360</v>
      </c>
      <c r="Q40" s="205">
        <v>19</v>
      </c>
      <c r="R40" s="205">
        <v>-287</v>
      </c>
      <c r="S40" s="205">
        <v>-396</v>
      </c>
      <c r="T40" s="205">
        <v>-250</v>
      </c>
      <c r="U40" s="205">
        <v>22</v>
      </c>
      <c r="V40" s="205">
        <v>-58</v>
      </c>
      <c r="W40" s="209" t="s">
        <v>19</v>
      </c>
    </row>
    <row r="41" spans="1:23" s="199" customFormat="1" ht="12" customHeight="1" x14ac:dyDescent="0.3">
      <c r="A41" s="214" t="s">
        <v>20</v>
      </c>
      <c r="B41" s="205">
        <v>-167</v>
      </c>
      <c r="C41" s="205">
        <v>-321</v>
      </c>
      <c r="D41" s="205">
        <v>-419</v>
      </c>
      <c r="E41" s="205">
        <v>-416</v>
      </c>
      <c r="F41" s="205">
        <v>-706</v>
      </c>
      <c r="G41" s="205">
        <v>-544</v>
      </c>
      <c r="H41" s="205">
        <v>-633</v>
      </c>
      <c r="I41" s="205">
        <v>-670</v>
      </c>
      <c r="J41" s="205">
        <v>-453</v>
      </c>
      <c r="K41" s="205">
        <v>-657</v>
      </c>
      <c r="L41" s="205">
        <v>-711</v>
      </c>
      <c r="M41" s="205">
        <v>-896</v>
      </c>
      <c r="N41" s="205">
        <v>-655</v>
      </c>
      <c r="O41" s="205">
        <v>-567</v>
      </c>
      <c r="P41" s="205">
        <v>-332</v>
      </c>
      <c r="Q41" s="205">
        <v>-308</v>
      </c>
      <c r="R41" s="205">
        <v>-330</v>
      </c>
      <c r="S41" s="205">
        <v>-453</v>
      </c>
      <c r="T41" s="205">
        <v>-324</v>
      </c>
      <c r="U41" s="205">
        <v>-87</v>
      </c>
      <c r="V41" s="205">
        <v>-183</v>
      </c>
      <c r="W41" s="209" t="s">
        <v>20</v>
      </c>
    </row>
    <row r="42" spans="1:23" s="199" customFormat="1" ht="12" customHeight="1" x14ac:dyDescent="0.3">
      <c r="A42" s="214" t="s">
        <v>21</v>
      </c>
      <c r="B42" s="205">
        <v>-146</v>
      </c>
      <c r="C42" s="205">
        <v>-225</v>
      </c>
      <c r="D42" s="205">
        <v>-289</v>
      </c>
      <c r="E42" s="205">
        <v>-366</v>
      </c>
      <c r="F42" s="205">
        <v>-521</v>
      </c>
      <c r="G42" s="205">
        <v>-470</v>
      </c>
      <c r="H42" s="205">
        <v>-511</v>
      </c>
      <c r="I42" s="205">
        <v>-695</v>
      </c>
      <c r="J42" s="205">
        <v>-777</v>
      </c>
      <c r="K42" s="205">
        <v>-797</v>
      </c>
      <c r="L42" s="205">
        <v>-931</v>
      </c>
      <c r="M42" s="205">
        <v>-921</v>
      </c>
      <c r="N42" s="205">
        <v>-872</v>
      </c>
      <c r="O42" s="205">
        <v>-829</v>
      </c>
      <c r="P42" s="205">
        <v>-572</v>
      </c>
      <c r="Q42" s="205">
        <v>-392</v>
      </c>
      <c r="R42" s="205">
        <v>-674</v>
      </c>
      <c r="S42" s="205">
        <v>-674</v>
      </c>
      <c r="T42" s="205">
        <v>-597</v>
      </c>
      <c r="U42" s="205">
        <v>-354</v>
      </c>
      <c r="V42" s="205">
        <v>-403</v>
      </c>
      <c r="W42" s="209" t="s">
        <v>21</v>
      </c>
    </row>
    <row r="43" spans="1:23" s="199" customFormat="1" ht="12" customHeight="1" x14ac:dyDescent="0.3">
      <c r="A43" s="214" t="s">
        <v>22</v>
      </c>
      <c r="B43" s="205">
        <v>-76</v>
      </c>
      <c r="C43" s="205">
        <v>-100</v>
      </c>
      <c r="D43" s="205">
        <v>-73</v>
      </c>
      <c r="E43" s="205">
        <v>-171</v>
      </c>
      <c r="F43" s="205">
        <v>-484</v>
      </c>
      <c r="G43" s="205">
        <v>-248</v>
      </c>
      <c r="H43" s="205">
        <v>-471</v>
      </c>
      <c r="I43" s="205">
        <v>-531</v>
      </c>
      <c r="J43" s="205">
        <v>-526</v>
      </c>
      <c r="K43" s="205">
        <v>-670</v>
      </c>
      <c r="L43" s="205">
        <v>-765</v>
      </c>
      <c r="M43" s="205">
        <v>-1060</v>
      </c>
      <c r="N43" s="205">
        <v>-1024</v>
      </c>
      <c r="O43" s="205">
        <v>-1035</v>
      </c>
      <c r="P43" s="205">
        <v>-759</v>
      </c>
      <c r="Q43" s="205">
        <v>-806</v>
      </c>
      <c r="R43" s="205">
        <v>-927</v>
      </c>
      <c r="S43" s="205">
        <v>-847</v>
      </c>
      <c r="T43" s="205">
        <v>-905</v>
      </c>
      <c r="U43" s="205">
        <v>-603</v>
      </c>
      <c r="V43" s="205">
        <v>-521</v>
      </c>
      <c r="W43" s="209" t="s">
        <v>22</v>
      </c>
    </row>
    <row r="44" spans="1:23" s="199" customFormat="1" ht="12" customHeight="1" x14ac:dyDescent="0.3">
      <c r="A44" s="214" t="s">
        <v>279</v>
      </c>
      <c r="B44" s="205">
        <v>334</v>
      </c>
      <c r="C44" s="205">
        <v>469</v>
      </c>
      <c r="D44" s="205">
        <v>604</v>
      </c>
      <c r="E44" s="205">
        <v>254</v>
      </c>
      <c r="F44" s="205">
        <v>-558</v>
      </c>
      <c r="G44" s="205">
        <v>-270</v>
      </c>
      <c r="H44" s="205">
        <v>-508</v>
      </c>
      <c r="I44" s="205">
        <v>-146</v>
      </c>
      <c r="J44" s="205">
        <v>-305</v>
      </c>
      <c r="K44" s="205">
        <v>-514</v>
      </c>
      <c r="L44" s="205">
        <v>-650</v>
      </c>
      <c r="M44" s="205">
        <v>-771</v>
      </c>
      <c r="N44" s="205">
        <v>-731</v>
      </c>
      <c r="O44" s="205">
        <v>-964</v>
      </c>
      <c r="P44" s="205">
        <v>-586</v>
      </c>
      <c r="Q44" s="205">
        <v>-626</v>
      </c>
      <c r="R44" s="205">
        <v>-1263</v>
      </c>
      <c r="S44" s="205">
        <v>-1442</v>
      </c>
      <c r="T44" s="205">
        <v>-1184</v>
      </c>
      <c r="U44" s="205">
        <v>-388</v>
      </c>
      <c r="V44" s="205">
        <v>-208</v>
      </c>
      <c r="W44" s="209" t="s">
        <v>279</v>
      </c>
    </row>
    <row r="45" spans="1:23" s="199" customFormat="1" ht="12" customHeight="1" x14ac:dyDescent="0.3">
      <c r="A45" s="21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9"/>
    </row>
    <row r="46" spans="1:23" s="199" customFormat="1" ht="12" customHeight="1" x14ac:dyDescent="0.3">
      <c r="A46" s="214" t="s">
        <v>299</v>
      </c>
      <c r="B46" s="205">
        <v>5065</v>
      </c>
      <c r="C46" s="205">
        <v>5218</v>
      </c>
      <c r="D46" s="205">
        <v>4278</v>
      </c>
      <c r="E46" s="205">
        <v>4678</v>
      </c>
      <c r="F46" s="205">
        <v>2608</v>
      </c>
      <c r="G46" s="205">
        <v>694</v>
      </c>
      <c r="H46" s="205">
        <v>1164</v>
      </c>
      <c r="I46" s="205">
        <v>824</v>
      </c>
      <c r="J46" s="205">
        <v>2167</v>
      </c>
      <c r="K46" s="205">
        <v>1297</v>
      </c>
      <c r="L46" s="205">
        <v>858</v>
      </c>
      <c r="M46" s="205">
        <v>282</v>
      </c>
      <c r="N46" s="205">
        <v>1913</v>
      </c>
      <c r="O46" s="205">
        <v>2217</v>
      </c>
      <c r="P46" s="205">
        <v>4143</v>
      </c>
      <c r="Q46" s="205">
        <v>4520</v>
      </c>
      <c r="R46" s="205">
        <v>3749</v>
      </c>
      <c r="S46" s="205">
        <v>3144</v>
      </c>
      <c r="T46" s="205">
        <v>3126</v>
      </c>
      <c r="U46" s="205">
        <v>3527</v>
      </c>
      <c r="V46" s="205">
        <v>4226</v>
      </c>
      <c r="W46" s="209" t="s">
        <v>299</v>
      </c>
    </row>
    <row r="47" spans="1:23" s="199" customFormat="1" ht="12" customHeight="1" x14ac:dyDescent="0.3">
      <c r="A47" s="214" t="s">
        <v>300</v>
      </c>
      <c r="B47" s="205">
        <v>-528</v>
      </c>
      <c r="C47" s="205">
        <v>-849</v>
      </c>
      <c r="D47" s="205">
        <v>-964</v>
      </c>
      <c r="E47" s="205">
        <v>-1445</v>
      </c>
      <c r="F47" s="205">
        <v>-2644</v>
      </c>
      <c r="G47" s="205">
        <v>-2215</v>
      </c>
      <c r="H47" s="205">
        <v>-2641</v>
      </c>
      <c r="I47" s="205">
        <v>-2781</v>
      </c>
      <c r="J47" s="205">
        <v>-2615</v>
      </c>
      <c r="K47" s="205">
        <v>-3139</v>
      </c>
      <c r="L47" s="205">
        <v>-3572</v>
      </c>
      <c r="M47" s="205">
        <v>-4390</v>
      </c>
      <c r="N47" s="205">
        <v>-3929</v>
      </c>
      <c r="O47" s="205">
        <v>-3906</v>
      </c>
      <c r="P47" s="205">
        <v>-2611</v>
      </c>
      <c r="Q47" s="205">
        <v>-2144</v>
      </c>
      <c r="R47" s="205">
        <v>-3106</v>
      </c>
      <c r="S47" s="205">
        <v>-3418</v>
      </c>
      <c r="T47" s="205">
        <v>-2929</v>
      </c>
      <c r="U47" s="205">
        <v>-1638</v>
      </c>
      <c r="V47" s="205">
        <v>-1765</v>
      </c>
      <c r="W47" s="209" t="s">
        <v>300</v>
      </c>
    </row>
    <row r="48" spans="1:23" s="199" customFormat="1" ht="12" customHeight="1" x14ac:dyDescent="0.3">
      <c r="A48" s="214"/>
      <c r="B48" s="207"/>
      <c r="C48" s="207"/>
      <c r="D48" s="207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9"/>
    </row>
    <row r="49" spans="1:23" s="199" customFormat="1" ht="12" customHeight="1" x14ac:dyDescent="0.3">
      <c r="A49" s="234" t="s">
        <v>295</v>
      </c>
      <c r="B49" s="205">
        <v>68522</v>
      </c>
      <c r="C49" s="205">
        <v>65593</v>
      </c>
      <c r="D49" s="205">
        <v>47716</v>
      </c>
      <c r="E49" s="205">
        <v>28147</v>
      </c>
      <c r="F49" s="205">
        <v>12927</v>
      </c>
      <c r="G49" s="205">
        <v>12811</v>
      </c>
      <c r="H49" s="205">
        <v>14547</v>
      </c>
      <c r="I49" s="205">
        <v>-12173</v>
      </c>
      <c r="J49" s="205">
        <v>-5604</v>
      </c>
      <c r="K49" s="205">
        <v>-9058</v>
      </c>
      <c r="L49" s="205">
        <v>-20037</v>
      </c>
      <c r="M49" s="205">
        <v>-19852</v>
      </c>
      <c r="N49" s="205">
        <v>-3686</v>
      </c>
      <c r="O49" s="205">
        <v>2136</v>
      </c>
      <c r="P49" s="205">
        <v>25307</v>
      </c>
      <c r="Q49" s="205">
        <v>34517</v>
      </c>
      <c r="R49" s="205">
        <v>42093</v>
      </c>
      <c r="S49" s="205">
        <v>27835</v>
      </c>
      <c r="T49" s="205">
        <v>746</v>
      </c>
      <c r="U49" s="205">
        <v>9506</v>
      </c>
      <c r="V49" s="205">
        <v>11600</v>
      </c>
      <c r="W49" s="235" t="s">
        <v>295</v>
      </c>
    </row>
    <row r="50" spans="1:23" s="199" customFormat="1" ht="12" customHeight="1" x14ac:dyDescent="0.3">
      <c r="A50" s="214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9"/>
    </row>
    <row r="51" spans="1:23" s="199" customFormat="1" ht="12" customHeight="1" x14ac:dyDescent="0.3">
      <c r="A51" s="214" t="s">
        <v>11</v>
      </c>
      <c r="B51" s="206">
        <v>3395</v>
      </c>
      <c r="C51" s="205">
        <v>1654</v>
      </c>
      <c r="D51" s="206">
        <v>-430</v>
      </c>
      <c r="E51" s="205">
        <v>-1274</v>
      </c>
      <c r="F51" s="206">
        <v>-1195</v>
      </c>
      <c r="G51" s="205">
        <v>-1081</v>
      </c>
      <c r="H51" s="205">
        <v>-812</v>
      </c>
      <c r="I51" s="205">
        <v>-2585</v>
      </c>
      <c r="J51" s="205">
        <v>-1759</v>
      </c>
      <c r="K51" s="205">
        <v>-1552</v>
      </c>
      <c r="L51" s="205">
        <v>-2623</v>
      </c>
      <c r="M51" s="205">
        <v>-3002</v>
      </c>
      <c r="N51" s="205">
        <v>-1385</v>
      </c>
      <c r="O51" s="205">
        <v>-533</v>
      </c>
      <c r="P51" s="205">
        <v>1023</v>
      </c>
      <c r="Q51" s="205">
        <v>1106</v>
      </c>
      <c r="R51" s="205">
        <v>1134</v>
      </c>
      <c r="S51" s="205">
        <v>212</v>
      </c>
      <c r="T51" s="205">
        <v>-635</v>
      </c>
      <c r="U51" s="205">
        <v>-116</v>
      </c>
      <c r="V51" s="205">
        <v>243</v>
      </c>
      <c r="W51" s="209" t="s">
        <v>11</v>
      </c>
    </row>
    <row r="52" spans="1:23" s="199" customFormat="1" ht="12" customHeight="1" x14ac:dyDescent="0.3">
      <c r="A52" s="214" t="s">
        <v>12</v>
      </c>
      <c r="B52" s="206">
        <v>4241</v>
      </c>
      <c r="C52" s="205">
        <v>2141</v>
      </c>
      <c r="D52" s="206">
        <v>720</v>
      </c>
      <c r="E52" s="205">
        <v>-321</v>
      </c>
      <c r="F52" s="206">
        <v>-297</v>
      </c>
      <c r="G52" s="205">
        <v>-520</v>
      </c>
      <c r="H52" s="205">
        <v>-346</v>
      </c>
      <c r="I52" s="205">
        <v>-1718</v>
      </c>
      <c r="J52" s="205">
        <v>-1637</v>
      </c>
      <c r="K52" s="205">
        <v>-1477</v>
      </c>
      <c r="L52" s="205">
        <v>-2304</v>
      </c>
      <c r="M52" s="205">
        <v>-2743</v>
      </c>
      <c r="N52" s="205">
        <v>-1727</v>
      </c>
      <c r="O52" s="205">
        <v>-633</v>
      </c>
      <c r="P52" s="205">
        <v>353</v>
      </c>
      <c r="Q52" s="205">
        <v>823</v>
      </c>
      <c r="R52" s="205">
        <v>610</v>
      </c>
      <c r="S52" s="205">
        <v>24</v>
      </c>
      <c r="T52" s="205">
        <v>-310</v>
      </c>
      <c r="U52" s="205">
        <v>527</v>
      </c>
      <c r="V52" s="205">
        <v>166</v>
      </c>
      <c r="W52" s="209" t="s">
        <v>12</v>
      </c>
    </row>
    <row r="53" spans="1:23" s="199" customFormat="1" ht="12" customHeight="1" x14ac:dyDescent="0.3">
      <c r="A53" s="214" t="s">
        <v>13</v>
      </c>
      <c r="B53" s="206">
        <v>4032</v>
      </c>
      <c r="C53" s="205">
        <v>2267</v>
      </c>
      <c r="D53" s="206">
        <v>1524</v>
      </c>
      <c r="E53" s="205">
        <v>554</v>
      </c>
      <c r="F53" s="206">
        <v>689</v>
      </c>
      <c r="G53" s="205">
        <v>667</v>
      </c>
      <c r="H53" s="205">
        <v>592</v>
      </c>
      <c r="I53" s="205">
        <v>-947</v>
      </c>
      <c r="J53" s="205">
        <v>-793</v>
      </c>
      <c r="K53" s="205">
        <v>-386</v>
      </c>
      <c r="L53" s="205">
        <v>-1208</v>
      </c>
      <c r="M53" s="205">
        <v>-1062</v>
      </c>
      <c r="N53" s="205">
        <v>-706</v>
      </c>
      <c r="O53" s="205">
        <v>-423</v>
      </c>
      <c r="P53" s="205">
        <v>390</v>
      </c>
      <c r="Q53" s="205">
        <v>609</v>
      </c>
      <c r="R53" s="205">
        <v>653</v>
      </c>
      <c r="S53" s="205">
        <v>322</v>
      </c>
      <c r="T53" s="205">
        <v>170</v>
      </c>
      <c r="U53" s="205">
        <v>538</v>
      </c>
      <c r="V53" s="205">
        <v>337</v>
      </c>
      <c r="W53" s="209" t="s">
        <v>13</v>
      </c>
    </row>
    <row r="54" spans="1:23" s="199" customFormat="1" ht="12" customHeight="1" x14ac:dyDescent="0.3">
      <c r="A54" s="214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9"/>
    </row>
    <row r="55" spans="1:23" s="199" customFormat="1" ht="12" customHeight="1" x14ac:dyDescent="0.3">
      <c r="A55" s="214" t="s">
        <v>14</v>
      </c>
      <c r="B55" s="206">
        <v>2512</v>
      </c>
      <c r="C55" s="205">
        <v>3426</v>
      </c>
      <c r="D55" s="206">
        <v>2205</v>
      </c>
      <c r="E55" s="205">
        <v>1397</v>
      </c>
      <c r="F55" s="206">
        <v>1121</v>
      </c>
      <c r="G55" s="205">
        <v>1488</v>
      </c>
      <c r="H55" s="205">
        <v>1153</v>
      </c>
      <c r="I55" s="205">
        <v>-532</v>
      </c>
      <c r="J55" s="205">
        <v>-205</v>
      </c>
      <c r="K55" s="205">
        <v>-736</v>
      </c>
      <c r="L55" s="205">
        <v>-952</v>
      </c>
      <c r="M55" s="205">
        <v>-707</v>
      </c>
      <c r="N55" s="205">
        <v>199</v>
      </c>
      <c r="O55" s="205">
        <v>163</v>
      </c>
      <c r="P55" s="205">
        <v>744</v>
      </c>
      <c r="Q55" s="205">
        <v>1486</v>
      </c>
      <c r="R55" s="205">
        <v>2319</v>
      </c>
      <c r="S55" s="205">
        <v>1999</v>
      </c>
      <c r="T55" s="205">
        <v>1080</v>
      </c>
      <c r="U55" s="205">
        <v>656</v>
      </c>
      <c r="V55" s="205">
        <v>320</v>
      </c>
      <c r="W55" s="209" t="s">
        <v>14</v>
      </c>
    </row>
    <row r="56" spans="1:23" s="199" customFormat="1" ht="12" customHeight="1" x14ac:dyDescent="0.3">
      <c r="A56" s="214" t="s">
        <v>15</v>
      </c>
      <c r="B56" s="206">
        <v>17541</v>
      </c>
      <c r="C56" s="205">
        <v>21158</v>
      </c>
      <c r="D56" s="206">
        <v>17056</v>
      </c>
      <c r="E56" s="205">
        <v>12486</v>
      </c>
      <c r="F56" s="206">
        <v>8977</v>
      </c>
      <c r="G56" s="205">
        <v>8252</v>
      </c>
      <c r="H56" s="205">
        <v>9113</v>
      </c>
      <c r="I56" s="205">
        <v>5468</v>
      </c>
      <c r="J56" s="205">
        <v>6554</v>
      </c>
      <c r="K56" s="205">
        <v>5207</v>
      </c>
      <c r="L56" s="205">
        <v>5068</v>
      </c>
      <c r="M56" s="205">
        <v>5054</v>
      </c>
      <c r="N56" s="205">
        <v>7631</v>
      </c>
      <c r="O56" s="205">
        <v>6832</v>
      </c>
      <c r="P56" s="205">
        <v>8442</v>
      </c>
      <c r="Q56" s="205">
        <v>11809</v>
      </c>
      <c r="R56" s="205">
        <v>15601</v>
      </c>
      <c r="S56" s="205">
        <v>14615</v>
      </c>
      <c r="T56" s="205">
        <v>8402</v>
      </c>
      <c r="U56" s="205">
        <v>8361</v>
      </c>
      <c r="V56" s="205">
        <v>8530</v>
      </c>
      <c r="W56" s="209" t="s">
        <v>15</v>
      </c>
    </row>
    <row r="57" spans="1:23" s="199" customFormat="1" ht="12" customHeight="1" x14ac:dyDescent="0.3">
      <c r="A57" s="214" t="s">
        <v>16</v>
      </c>
      <c r="B57" s="206">
        <v>18888</v>
      </c>
      <c r="C57" s="205">
        <v>21337</v>
      </c>
      <c r="D57" s="206">
        <v>18323</v>
      </c>
      <c r="E57" s="205">
        <v>14478</v>
      </c>
      <c r="F57" s="206">
        <v>10591</v>
      </c>
      <c r="G57" s="205">
        <v>8887</v>
      </c>
      <c r="H57" s="205">
        <v>11828</v>
      </c>
      <c r="I57" s="205">
        <v>7832</v>
      </c>
      <c r="J57" s="205">
        <v>8694</v>
      </c>
      <c r="K57" s="205">
        <v>7686</v>
      </c>
      <c r="L57" s="205">
        <v>6410</v>
      </c>
      <c r="M57" s="205">
        <v>6116</v>
      </c>
      <c r="N57" s="205">
        <v>8102</v>
      </c>
      <c r="O57" s="205">
        <v>8832</v>
      </c>
      <c r="P57" s="205">
        <v>12290</v>
      </c>
      <c r="Q57" s="205">
        <v>12690</v>
      </c>
      <c r="R57" s="205">
        <v>14220</v>
      </c>
      <c r="S57" s="205">
        <v>11906</v>
      </c>
      <c r="T57" s="205">
        <v>7988</v>
      </c>
      <c r="U57" s="205">
        <v>7325</v>
      </c>
      <c r="V57" s="205">
        <v>8167</v>
      </c>
      <c r="W57" s="209" t="s">
        <v>16</v>
      </c>
    </row>
    <row r="58" spans="1:23" s="199" customFormat="1" ht="12" customHeight="1" x14ac:dyDescent="0.3">
      <c r="A58" s="214" t="s">
        <v>17</v>
      </c>
      <c r="B58" s="205">
        <v>6365</v>
      </c>
      <c r="C58" s="205">
        <v>5297</v>
      </c>
      <c r="D58" s="205">
        <v>3652</v>
      </c>
      <c r="E58" s="205">
        <v>1636</v>
      </c>
      <c r="F58" s="205">
        <v>185</v>
      </c>
      <c r="G58" s="205">
        <v>1046</v>
      </c>
      <c r="H58" s="205">
        <v>1916</v>
      </c>
      <c r="I58" s="205">
        <v>-1183</v>
      </c>
      <c r="J58" s="205">
        <v>781</v>
      </c>
      <c r="K58" s="205">
        <v>520</v>
      </c>
      <c r="L58" s="205">
        <v>-1109</v>
      </c>
      <c r="M58" s="205">
        <v>-1051</v>
      </c>
      <c r="N58" s="205">
        <v>1220</v>
      </c>
      <c r="O58" s="205">
        <v>2360</v>
      </c>
      <c r="P58" s="205">
        <v>5190</v>
      </c>
      <c r="Q58" s="205">
        <v>5157</v>
      </c>
      <c r="R58" s="205">
        <v>5993</v>
      </c>
      <c r="S58" s="205">
        <v>4397</v>
      </c>
      <c r="T58" s="205">
        <v>2116</v>
      </c>
      <c r="U58" s="205">
        <v>2010</v>
      </c>
      <c r="V58" s="205">
        <v>3166</v>
      </c>
      <c r="W58" s="209" t="s">
        <v>17</v>
      </c>
    </row>
    <row r="59" spans="1:23" s="199" customFormat="1" ht="12" customHeight="1" x14ac:dyDescent="0.3">
      <c r="A59" s="214" t="s">
        <v>18</v>
      </c>
      <c r="B59" s="205">
        <v>3480</v>
      </c>
      <c r="C59" s="205">
        <v>2212</v>
      </c>
      <c r="D59" s="205">
        <v>665</v>
      </c>
      <c r="E59" s="205">
        <v>-448</v>
      </c>
      <c r="F59" s="205">
        <v>-1105</v>
      </c>
      <c r="G59" s="205">
        <v>-910</v>
      </c>
      <c r="H59" s="205">
        <v>-1065</v>
      </c>
      <c r="I59" s="205">
        <v>-3701</v>
      </c>
      <c r="J59" s="205">
        <v>-2647</v>
      </c>
      <c r="K59" s="205">
        <v>-2584</v>
      </c>
      <c r="L59" s="205">
        <v>-3960</v>
      </c>
      <c r="M59" s="205">
        <v>-3942</v>
      </c>
      <c r="N59" s="205">
        <v>-2139</v>
      </c>
      <c r="O59" s="205">
        <v>-867</v>
      </c>
      <c r="P59" s="205">
        <v>1690</v>
      </c>
      <c r="Q59" s="205">
        <v>2437</v>
      </c>
      <c r="R59" s="205">
        <v>3776</v>
      </c>
      <c r="S59" s="205">
        <v>1672</v>
      </c>
      <c r="T59" s="205">
        <v>-500</v>
      </c>
      <c r="U59" s="205">
        <v>109</v>
      </c>
      <c r="V59" s="205">
        <v>347</v>
      </c>
      <c r="W59" s="209" t="s">
        <v>18</v>
      </c>
    </row>
    <row r="60" spans="1:23" s="199" customFormat="1" ht="12" customHeight="1" x14ac:dyDescent="0.3">
      <c r="A60" s="214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9"/>
    </row>
    <row r="61" spans="1:23" s="199" customFormat="1" ht="12" customHeight="1" x14ac:dyDescent="0.3">
      <c r="A61" s="214" t="s">
        <v>19</v>
      </c>
      <c r="B61" s="205">
        <v>1974</v>
      </c>
      <c r="C61" s="205">
        <v>1505</v>
      </c>
      <c r="D61" s="205">
        <v>184</v>
      </c>
      <c r="E61" s="205">
        <v>-659</v>
      </c>
      <c r="F61" s="205">
        <v>-1481</v>
      </c>
      <c r="G61" s="205">
        <v>-895</v>
      </c>
      <c r="H61" s="205">
        <v>-1529</v>
      </c>
      <c r="I61" s="205">
        <v>-3421</v>
      </c>
      <c r="J61" s="205">
        <v>-3480</v>
      </c>
      <c r="K61" s="205">
        <v>-3438</v>
      </c>
      <c r="L61" s="205">
        <v>-4442</v>
      </c>
      <c r="M61" s="205">
        <v>-4016</v>
      </c>
      <c r="N61" s="205">
        <v>-2878</v>
      </c>
      <c r="O61" s="205">
        <v>-1822</v>
      </c>
      <c r="P61" s="205">
        <v>131</v>
      </c>
      <c r="Q61" s="205">
        <v>1167</v>
      </c>
      <c r="R61" s="205">
        <v>1386</v>
      </c>
      <c r="S61" s="205">
        <v>146</v>
      </c>
      <c r="T61" s="205">
        <v>-1394</v>
      </c>
      <c r="U61" s="205">
        <v>-541</v>
      </c>
      <c r="V61" s="205">
        <v>-502</v>
      </c>
      <c r="W61" s="209" t="s">
        <v>19</v>
      </c>
    </row>
    <row r="62" spans="1:23" s="199" customFormat="1" ht="12" customHeight="1" x14ac:dyDescent="0.3">
      <c r="A62" s="214" t="s">
        <v>20</v>
      </c>
      <c r="B62" s="205">
        <v>819</v>
      </c>
      <c r="C62" s="205">
        <v>490</v>
      </c>
      <c r="D62" s="205">
        <v>-162</v>
      </c>
      <c r="E62" s="205">
        <v>-906</v>
      </c>
      <c r="F62" s="205">
        <v>-1818</v>
      </c>
      <c r="G62" s="205">
        <v>-1324</v>
      </c>
      <c r="H62" s="205">
        <v>-2017</v>
      </c>
      <c r="I62" s="205">
        <v>-3381</v>
      </c>
      <c r="J62" s="205">
        <v>-2841</v>
      </c>
      <c r="K62" s="205">
        <v>-3286</v>
      </c>
      <c r="L62" s="205">
        <v>-4073</v>
      </c>
      <c r="M62" s="205">
        <v>-4084</v>
      </c>
      <c r="N62" s="205">
        <v>-2817</v>
      </c>
      <c r="O62" s="205">
        <v>-2340</v>
      </c>
      <c r="P62" s="205">
        <v>-885</v>
      </c>
      <c r="Q62" s="205">
        <v>-141</v>
      </c>
      <c r="R62" s="205">
        <v>591</v>
      </c>
      <c r="S62" s="205">
        <v>-730</v>
      </c>
      <c r="T62" s="205">
        <v>-1995</v>
      </c>
      <c r="U62" s="205">
        <v>-1218</v>
      </c>
      <c r="V62" s="205">
        <v>-1037</v>
      </c>
      <c r="W62" s="209" t="s">
        <v>20</v>
      </c>
    </row>
    <row r="63" spans="1:23" s="199" customFormat="1" ht="12" customHeight="1" x14ac:dyDescent="0.3">
      <c r="A63" s="214" t="s">
        <v>21</v>
      </c>
      <c r="B63" s="205">
        <v>591</v>
      </c>
      <c r="C63" s="205">
        <v>146</v>
      </c>
      <c r="D63" s="205">
        <v>14</v>
      </c>
      <c r="E63" s="205">
        <v>-635</v>
      </c>
      <c r="F63" s="205">
        <v>-1482</v>
      </c>
      <c r="G63" s="205">
        <v>-1142</v>
      </c>
      <c r="H63" s="205">
        <v>-1648</v>
      </c>
      <c r="I63" s="205">
        <v>-3174</v>
      </c>
      <c r="J63" s="205">
        <v>-3067</v>
      </c>
      <c r="K63" s="205">
        <v>-3253</v>
      </c>
      <c r="L63" s="205">
        <v>-3892</v>
      </c>
      <c r="M63" s="205">
        <v>-4043</v>
      </c>
      <c r="N63" s="205">
        <v>-3058</v>
      </c>
      <c r="O63" s="205">
        <v>-2857</v>
      </c>
      <c r="P63" s="205">
        <v>-1656</v>
      </c>
      <c r="Q63" s="205">
        <v>-991</v>
      </c>
      <c r="R63" s="205">
        <v>-908</v>
      </c>
      <c r="S63" s="205">
        <v>-1440</v>
      </c>
      <c r="T63" s="205">
        <v>-2864</v>
      </c>
      <c r="U63" s="205">
        <v>-2207</v>
      </c>
      <c r="V63" s="205">
        <v>-2052</v>
      </c>
      <c r="W63" s="209" t="s">
        <v>21</v>
      </c>
    </row>
    <row r="64" spans="1:23" s="199" customFormat="1" ht="12" customHeight="1" x14ac:dyDescent="0.3">
      <c r="A64" s="214" t="s">
        <v>22</v>
      </c>
      <c r="B64" s="205">
        <v>539</v>
      </c>
      <c r="C64" s="205">
        <v>348</v>
      </c>
      <c r="D64" s="205">
        <v>260</v>
      </c>
      <c r="E64" s="205">
        <v>193</v>
      </c>
      <c r="F64" s="205">
        <v>-694</v>
      </c>
      <c r="G64" s="205">
        <v>-665</v>
      </c>
      <c r="H64" s="205">
        <v>-1251</v>
      </c>
      <c r="I64" s="205">
        <v>-2227</v>
      </c>
      <c r="J64" s="205">
        <v>-2150</v>
      </c>
      <c r="K64" s="205">
        <v>-2409</v>
      </c>
      <c r="L64" s="205">
        <v>-2979</v>
      </c>
      <c r="M64" s="205">
        <v>-3324</v>
      </c>
      <c r="N64" s="205">
        <v>-3348</v>
      </c>
      <c r="O64" s="205">
        <v>-3146</v>
      </c>
      <c r="P64" s="205">
        <v>-1881</v>
      </c>
      <c r="Q64" s="205">
        <v>-1712</v>
      </c>
      <c r="R64" s="205">
        <v>-1484</v>
      </c>
      <c r="S64" s="205">
        <v>-2295</v>
      </c>
      <c r="T64" s="205">
        <v>-3922</v>
      </c>
      <c r="U64" s="205">
        <v>-2648</v>
      </c>
      <c r="V64" s="205">
        <v>-2963</v>
      </c>
      <c r="W64" s="209" t="s">
        <v>22</v>
      </c>
    </row>
    <row r="65" spans="1:23" s="199" customFormat="1" ht="12" customHeight="1" x14ac:dyDescent="0.3">
      <c r="A65" s="214" t="s">
        <v>279</v>
      </c>
      <c r="B65" s="205">
        <v>4145</v>
      </c>
      <c r="C65" s="205">
        <v>3612</v>
      </c>
      <c r="D65" s="205">
        <v>3705</v>
      </c>
      <c r="E65" s="205">
        <v>1646</v>
      </c>
      <c r="F65" s="205">
        <v>-564</v>
      </c>
      <c r="G65" s="205">
        <v>-992</v>
      </c>
      <c r="H65" s="205">
        <v>-1387</v>
      </c>
      <c r="I65" s="205">
        <v>-2604</v>
      </c>
      <c r="J65" s="205">
        <v>-3054</v>
      </c>
      <c r="K65" s="205">
        <v>-3350</v>
      </c>
      <c r="L65" s="205">
        <v>-3973</v>
      </c>
      <c r="M65" s="205">
        <v>-3048</v>
      </c>
      <c r="N65" s="205">
        <v>-2780</v>
      </c>
      <c r="O65" s="205">
        <v>-3430</v>
      </c>
      <c r="P65" s="205">
        <v>-524</v>
      </c>
      <c r="Q65" s="205">
        <v>77</v>
      </c>
      <c r="R65" s="205">
        <v>-1798</v>
      </c>
      <c r="S65" s="205">
        <v>-2993</v>
      </c>
      <c r="T65" s="205">
        <v>-7390</v>
      </c>
      <c r="U65" s="205">
        <v>-3290</v>
      </c>
      <c r="V65" s="205">
        <v>-3122</v>
      </c>
      <c r="W65" s="209" t="s">
        <v>279</v>
      </c>
    </row>
    <row r="66" spans="1:23" s="199" customFormat="1" ht="12" customHeight="1" x14ac:dyDescent="0.3">
      <c r="A66" s="214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9"/>
    </row>
    <row r="67" spans="1:23" s="199" customFormat="1" ht="12" customHeight="1" x14ac:dyDescent="0.3">
      <c r="A67" s="214" t="s">
        <v>299</v>
      </c>
      <c r="B67" s="205">
        <v>43544</v>
      </c>
      <c r="C67" s="205">
        <v>49208</v>
      </c>
      <c r="D67" s="205">
        <v>39874</v>
      </c>
      <c r="E67" s="205">
        <v>29128</v>
      </c>
      <c r="F67" s="205">
        <v>20246</v>
      </c>
      <c r="G67" s="205">
        <v>18654</v>
      </c>
      <c r="H67" s="205">
        <v>22936</v>
      </c>
      <c r="I67" s="205">
        <v>11176</v>
      </c>
      <c r="J67" s="205">
        <v>15110</v>
      </c>
      <c r="K67" s="205">
        <v>12368</v>
      </c>
      <c r="L67" s="205">
        <v>9232</v>
      </c>
      <c r="M67" s="205">
        <v>9020</v>
      </c>
      <c r="N67" s="205">
        <v>16324</v>
      </c>
      <c r="O67" s="205">
        <v>16939</v>
      </c>
      <c r="P67" s="205">
        <v>25229</v>
      </c>
      <c r="Q67" s="205">
        <v>29082</v>
      </c>
      <c r="R67" s="205">
        <v>36043</v>
      </c>
      <c r="S67" s="205">
        <v>30893</v>
      </c>
      <c r="T67" s="205">
        <v>17898</v>
      </c>
      <c r="U67" s="205">
        <v>17118</v>
      </c>
      <c r="V67" s="205">
        <v>19505</v>
      </c>
      <c r="W67" s="209" t="s">
        <v>299</v>
      </c>
    </row>
    <row r="68" spans="1:23" s="199" customFormat="1" ht="12" customHeight="1" x14ac:dyDescent="0.3">
      <c r="A68" s="214" t="s">
        <v>300</v>
      </c>
      <c r="B68" s="205">
        <v>4673</v>
      </c>
      <c r="C68" s="205">
        <v>3170</v>
      </c>
      <c r="D68" s="205">
        <v>984</v>
      </c>
      <c r="E68" s="205">
        <v>-1802</v>
      </c>
      <c r="F68" s="205">
        <v>-5812</v>
      </c>
      <c r="G68" s="205">
        <v>-4707</v>
      </c>
      <c r="H68" s="205">
        <v>-7387</v>
      </c>
      <c r="I68" s="205">
        <v>-13585</v>
      </c>
      <c r="J68" s="205">
        <v>-12970</v>
      </c>
      <c r="K68" s="205">
        <v>-14110</v>
      </c>
      <c r="L68" s="205">
        <v>-17435</v>
      </c>
      <c r="M68" s="205">
        <v>-17579</v>
      </c>
      <c r="N68" s="205">
        <v>-14194</v>
      </c>
      <c r="O68" s="205">
        <v>-12357</v>
      </c>
      <c r="P68" s="205">
        <v>-5621</v>
      </c>
      <c r="Q68" s="205">
        <v>-2739</v>
      </c>
      <c r="R68" s="205">
        <v>-2057</v>
      </c>
      <c r="S68" s="205">
        <v>-6686</v>
      </c>
      <c r="T68" s="205">
        <v>-14363</v>
      </c>
      <c r="U68" s="205">
        <v>-9616</v>
      </c>
      <c r="V68" s="205">
        <v>-9314</v>
      </c>
      <c r="W68" s="209" t="s">
        <v>300</v>
      </c>
    </row>
    <row r="69" spans="1:23" s="199" customFormat="1" ht="11.1" customHeight="1" thickBot="1" x14ac:dyDescent="0.35">
      <c r="A69" s="211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2"/>
    </row>
  </sheetData>
  <mergeCells count="4">
    <mergeCell ref="A1:K1"/>
    <mergeCell ref="L1:W1"/>
    <mergeCell ref="A3:A5"/>
    <mergeCell ref="W3:W5"/>
  </mergeCells>
  <phoneticPr fontId="1" type="noConversion"/>
  <conditionalFormatting sqref="B7:V68">
    <cfRule type="cellIs" dxfId="0" priority="1" operator="between">
      <formula>-1</formula>
      <formula>-999</formula>
    </cfRule>
  </conditionalFormatting>
  <printOptions horizontalCentered="1"/>
  <pageMargins left="0.70866141732283472" right="0.70866141732283472" top="0.74803149606299213" bottom="0.39370078740157483" header="0.31496062992125984" footer="0.78740157480314965"/>
  <pageSetup paperSize="9" scale="86" fitToWidth="2" orientation="portrait" r:id="rId1"/>
  <colBreaks count="1" manualBreakCount="1">
    <brk id="11" max="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50"/>
  <sheetViews>
    <sheetView zoomScale="115" zoomScaleNormal="115" workbookViewId="0">
      <selection activeCell="P28" sqref="P28:Q28"/>
    </sheetView>
  </sheetViews>
  <sheetFormatPr defaultRowHeight="14.25" customHeight="1" x14ac:dyDescent="0.3"/>
  <cols>
    <col min="1" max="1" width="3" style="104" bestFit="1" customWidth="1"/>
    <col min="2" max="2" width="9.125" style="100" customWidth="1"/>
    <col min="3" max="3" width="5.625" style="101" customWidth="1"/>
    <col min="4" max="4" width="9.125" style="100" customWidth="1"/>
    <col min="5" max="5" width="5.625" style="101" customWidth="1"/>
    <col min="6" max="6" width="9.125" style="100" customWidth="1"/>
    <col min="7" max="7" width="5.625" style="101" customWidth="1"/>
    <col min="8" max="8" width="9.125" style="100" customWidth="1"/>
    <col min="9" max="9" width="5.625" style="101" customWidth="1"/>
    <col min="10" max="10" width="9.125" style="100" customWidth="1"/>
    <col min="11" max="11" width="5.625" style="101" customWidth="1"/>
    <col min="12" max="12" width="9.125" style="100" customWidth="1"/>
    <col min="13" max="13" width="5.625" style="101" customWidth="1"/>
    <col min="14" max="14" width="9.125" style="100" customWidth="1"/>
    <col min="15" max="15" width="5.625" style="101" customWidth="1"/>
    <col min="16" max="16" width="9.125" style="100" customWidth="1"/>
    <col min="17" max="17" width="5.625" style="101" customWidth="1"/>
    <col min="18" max="18" width="9.125" style="100" customWidth="1"/>
    <col min="19" max="19" width="5.625" style="101" customWidth="1"/>
    <col min="20" max="20" width="9.125" style="100" customWidth="1"/>
    <col min="21" max="21" width="5.625" style="101" customWidth="1"/>
    <col min="22" max="22" width="3" style="100" customWidth="1"/>
    <col min="23" max="16384" width="9" style="100"/>
  </cols>
  <sheetData>
    <row r="1" spans="1:22" s="3" customFormat="1" ht="25.5" customHeight="1" x14ac:dyDescent="0.3">
      <c r="A1" s="38" t="s">
        <v>219</v>
      </c>
      <c r="C1" s="37"/>
      <c r="D1" s="63"/>
      <c r="E1" s="37"/>
      <c r="F1" s="63"/>
      <c r="G1" s="37"/>
      <c r="H1" s="63"/>
      <c r="I1" s="37"/>
      <c r="J1" s="63"/>
      <c r="K1" s="63"/>
      <c r="L1" s="63"/>
      <c r="M1" s="63"/>
      <c r="O1" s="28"/>
      <c r="Q1" s="28"/>
      <c r="S1" s="28"/>
      <c r="U1" s="28"/>
    </row>
    <row r="2" spans="1:22" s="4" customFormat="1" ht="12.75" customHeight="1" x14ac:dyDescent="0.3">
      <c r="A2" s="14"/>
      <c r="B2" s="5"/>
      <c r="C2" s="29"/>
      <c r="E2" s="29"/>
      <c r="G2" s="29"/>
      <c r="I2" s="29"/>
      <c r="J2" s="7"/>
      <c r="K2" s="29"/>
      <c r="M2" s="29"/>
      <c r="O2" s="29"/>
      <c r="Q2" s="29"/>
      <c r="S2" s="29"/>
      <c r="U2" s="29"/>
    </row>
    <row r="3" spans="1:22" ht="16.5" customHeight="1" thickBot="1" x14ac:dyDescent="0.35">
      <c r="A3" s="39" t="s">
        <v>155</v>
      </c>
      <c r="N3" s="102"/>
      <c r="U3" s="47" t="s">
        <v>156</v>
      </c>
    </row>
    <row r="4" spans="1:22" s="103" customFormat="1" ht="14.25" customHeight="1" x14ac:dyDescent="0.3">
      <c r="A4" s="67" t="s">
        <v>208</v>
      </c>
      <c r="B4" s="313">
        <v>2001</v>
      </c>
      <c r="C4" s="311"/>
      <c r="D4" s="310">
        <v>2002</v>
      </c>
      <c r="E4" s="311"/>
      <c r="F4" s="310">
        <v>2003</v>
      </c>
      <c r="G4" s="311"/>
      <c r="H4" s="310">
        <v>2004</v>
      </c>
      <c r="I4" s="311"/>
      <c r="J4" s="310">
        <v>2005</v>
      </c>
      <c r="K4" s="312"/>
      <c r="L4" s="312">
        <v>2006</v>
      </c>
      <c r="M4" s="311"/>
      <c r="N4" s="312">
        <v>2007</v>
      </c>
      <c r="O4" s="311"/>
      <c r="P4" s="310">
        <v>2008</v>
      </c>
      <c r="Q4" s="311"/>
      <c r="R4" s="310">
        <v>2009</v>
      </c>
      <c r="S4" s="311"/>
      <c r="T4" s="310">
        <v>2010</v>
      </c>
      <c r="U4" s="311"/>
      <c r="V4" s="68" t="s">
        <v>157</v>
      </c>
    </row>
    <row r="5" spans="1:22" ht="14.25" customHeight="1" x14ac:dyDescent="0.3">
      <c r="A5" s="69">
        <v>1</v>
      </c>
      <c r="B5" s="70" t="s">
        <v>77</v>
      </c>
      <c r="C5" s="71">
        <v>55226</v>
      </c>
      <c r="D5" s="72" t="s">
        <v>77</v>
      </c>
      <c r="E5" s="71">
        <v>69971</v>
      </c>
      <c r="F5" s="73" t="s">
        <v>77</v>
      </c>
      <c r="G5" s="74">
        <v>45756</v>
      </c>
      <c r="H5" s="72" t="s">
        <v>77</v>
      </c>
      <c r="I5" s="71">
        <v>60788</v>
      </c>
      <c r="J5" s="72" t="s">
        <v>77</v>
      </c>
      <c r="K5" s="74">
        <v>48298</v>
      </c>
      <c r="L5" s="73" t="s">
        <v>77</v>
      </c>
      <c r="M5" s="71">
        <v>67295</v>
      </c>
      <c r="N5" s="73" t="s">
        <v>78</v>
      </c>
      <c r="O5" s="74">
        <v>57722</v>
      </c>
      <c r="P5" s="72" t="s">
        <v>78</v>
      </c>
      <c r="Q5" s="71">
        <v>72032</v>
      </c>
      <c r="R5" s="73" t="s">
        <v>78</v>
      </c>
      <c r="S5" s="74">
        <v>36027</v>
      </c>
      <c r="T5" s="72" t="s">
        <v>79</v>
      </c>
      <c r="U5" s="71">
        <v>31048</v>
      </c>
      <c r="V5" s="75">
        <v>1</v>
      </c>
    </row>
    <row r="6" spans="1:22" ht="14.25" customHeight="1" x14ac:dyDescent="0.3">
      <c r="A6" s="76">
        <v>2</v>
      </c>
      <c r="B6" s="77" t="s">
        <v>80</v>
      </c>
      <c r="C6" s="78">
        <v>31874</v>
      </c>
      <c r="D6" s="79" t="s">
        <v>46</v>
      </c>
      <c r="E6" s="78">
        <v>36049</v>
      </c>
      <c r="F6" s="80" t="s">
        <v>81</v>
      </c>
      <c r="G6" s="81">
        <v>24432</v>
      </c>
      <c r="H6" s="79" t="s">
        <v>78</v>
      </c>
      <c r="I6" s="78">
        <v>33611</v>
      </c>
      <c r="J6" s="79" t="s">
        <v>79</v>
      </c>
      <c r="K6" s="81">
        <v>29814</v>
      </c>
      <c r="L6" s="80" t="s">
        <v>80</v>
      </c>
      <c r="M6" s="78">
        <v>29845</v>
      </c>
      <c r="N6" s="80" t="s">
        <v>51</v>
      </c>
      <c r="O6" s="81">
        <v>32013</v>
      </c>
      <c r="P6" s="79" t="s">
        <v>41</v>
      </c>
      <c r="Q6" s="78">
        <v>40828</v>
      </c>
      <c r="R6" s="80" t="s">
        <v>75</v>
      </c>
      <c r="S6" s="81">
        <v>16699</v>
      </c>
      <c r="T6" s="79" t="s">
        <v>80</v>
      </c>
      <c r="U6" s="78">
        <v>27245</v>
      </c>
      <c r="V6" s="82">
        <v>2</v>
      </c>
    </row>
    <row r="7" spans="1:22" ht="14.25" customHeight="1" x14ac:dyDescent="0.3">
      <c r="A7" s="76">
        <v>3</v>
      </c>
      <c r="B7" s="77" t="s">
        <v>78</v>
      </c>
      <c r="C7" s="78">
        <v>17837</v>
      </c>
      <c r="D7" s="79" t="s">
        <v>61</v>
      </c>
      <c r="E7" s="78">
        <v>32545</v>
      </c>
      <c r="F7" s="80" t="s">
        <v>59</v>
      </c>
      <c r="G7" s="81">
        <v>22612</v>
      </c>
      <c r="H7" s="79" t="s">
        <v>81</v>
      </c>
      <c r="I7" s="78">
        <v>16808</v>
      </c>
      <c r="J7" s="79" t="s">
        <v>78</v>
      </c>
      <c r="K7" s="81">
        <v>22620</v>
      </c>
      <c r="L7" s="80" t="s">
        <v>79</v>
      </c>
      <c r="M7" s="78">
        <v>18303</v>
      </c>
      <c r="N7" s="80" t="s">
        <v>77</v>
      </c>
      <c r="O7" s="81">
        <v>26424</v>
      </c>
      <c r="P7" s="79" t="s">
        <v>51</v>
      </c>
      <c r="Q7" s="78">
        <v>20574</v>
      </c>
      <c r="R7" s="80" t="s">
        <v>77</v>
      </c>
      <c r="S7" s="81">
        <v>16340</v>
      </c>
      <c r="T7" s="79" t="s">
        <v>77</v>
      </c>
      <c r="U7" s="78">
        <v>26684</v>
      </c>
      <c r="V7" s="82">
        <v>3</v>
      </c>
    </row>
    <row r="8" spans="1:22" ht="14.25" customHeight="1" x14ac:dyDescent="0.3">
      <c r="A8" s="76">
        <v>4</v>
      </c>
      <c r="B8" s="77" t="s">
        <v>82</v>
      </c>
      <c r="C8" s="78">
        <v>17403</v>
      </c>
      <c r="D8" s="79" t="s">
        <v>59</v>
      </c>
      <c r="E8" s="78">
        <v>30381</v>
      </c>
      <c r="F8" s="80" t="s">
        <v>61</v>
      </c>
      <c r="G8" s="81">
        <v>17750</v>
      </c>
      <c r="H8" s="79" t="s">
        <v>67</v>
      </c>
      <c r="I8" s="78">
        <v>13427</v>
      </c>
      <c r="J8" s="79" t="s">
        <v>67</v>
      </c>
      <c r="K8" s="81">
        <v>16622</v>
      </c>
      <c r="L8" s="80" t="s">
        <v>46</v>
      </c>
      <c r="M8" s="78">
        <v>14775</v>
      </c>
      <c r="N8" s="80" t="s">
        <v>79</v>
      </c>
      <c r="O8" s="81">
        <v>18169</v>
      </c>
      <c r="P8" s="79" t="s">
        <v>83</v>
      </c>
      <c r="Q8" s="78">
        <v>13326</v>
      </c>
      <c r="R8" s="80" t="s">
        <v>79</v>
      </c>
      <c r="S8" s="81">
        <v>16083</v>
      </c>
      <c r="T8" s="79" t="s">
        <v>53</v>
      </c>
      <c r="U8" s="78">
        <v>23094</v>
      </c>
      <c r="V8" s="82">
        <v>4</v>
      </c>
    </row>
    <row r="9" spans="1:22" ht="14.25" customHeight="1" x14ac:dyDescent="0.3">
      <c r="A9" s="76">
        <v>5</v>
      </c>
      <c r="B9" s="77" t="s">
        <v>46</v>
      </c>
      <c r="C9" s="78">
        <v>17353</v>
      </c>
      <c r="D9" s="79" t="s">
        <v>84</v>
      </c>
      <c r="E9" s="78">
        <v>21600</v>
      </c>
      <c r="F9" s="80" t="s">
        <v>43</v>
      </c>
      <c r="G9" s="81">
        <v>15829</v>
      </c>
      <c r="H9" s="79" t="s">
        <v>84</v>
      </c>
      <c r="I9" s="78">
        <v>13082</v>
      </c>
      <c r="J9" s="79" t="s">
        <v>80</v>
      </c>
      <c r="K9" s="81">
        <v>14348</v>
      </c>
      <c r="L9" s="80" t="s">
        <v>62</v>
      </c>
      <c r="M9" s="78">
        <v>14650</v>
      </c>
      <c r="N9" s="80" t="s">
        <v>41</v>
      </c>
      <c r="O9" s="81">
        <v>12982</v>
      </c>
      <c r="P9" s="79" t="s">
        <v>71</v>
      </c>
      <c r="Q9" s="78">
        <v>12177</v>
      </c>
      <c r="R9" s="80" t="s">
        <v>43</v>
      </c>
      <c r="S9" s="81">
        <v>14848</v>
      </c>
      <c r="T9" s="79" t="s">
        <v>85</v>
      </c>
      <c r="U9" s="78">
        <v>19880</v>
      </c>
      <c r="V9" s="82">
        <v>5</v>
      </c>
    </row>
    <row r="10" spans="1:22" ht="14.25" customHeight="1" x14ac:dyDescent="0.3">
      <c r="A10" s="83">
        <v>6</v>
      </c>
      <c r="B10" s="84" t="s">
        <v>61</v>
      </c>
      <c r="C10" s="85">
        <v>17178</v>
      </c>
      <c r="D10" s="86" t="s">
        <v>81</v>
      </c>
      <c r="E10" s="85">
        <v>20260</v>
      </c>
      <c r="F10" s="87" t="s">
        <v>76</v>
      </c>
      <c r="G10" s="88">
        <v>15231</v>
      </c>
      <c r="H10" s="86" t="s">
        <v>64</v>
      </c>
      <c r="I10" s="85">
        <v>12614</v>
      </c>
      <c r="J10" s="86" t="s">
        <v>81</v>
      </c>
      <c r="K10" s="88">
        <v>14115</v>
      </c>
      <c r="L10" s="87" t="s">
        <v>61</v>
      </c>
      <c r="M10" s="85">
        <v>14567</v>
      </c>
      <c r="N10" s="87" t="s">
        <v>67</v>
      </c>
      <c r="O10" s="88">
        <v>12082</v>
      </c>
      <c r="P10" s="86" t="s">
        <v>79</v>
      </c>
      <c r="Q10" s="85">
        <v>10049</v>
      </c>
      <c r="R10" s="87" t="s">
        <v>49</v>
      </c>
      <c r="S10" s="88">
        <v>12974</v>
      </c>
      <c r="T10" s="86" t="s">
        <v>52</v>
      </c>
      <c r="U10" s="85">
        <v>12086</v>
      </c>
      <c r="V10" s="82">
        <v>6</v>
      </c>
    </row>
    <row r="11" spans="1:22" ht="14.25" customHeight="1" x14ac:dyDescent="0.3">
      <c r="A11" s="76">
        <v>7</v>
      </c>
      <c r="B11" s="77" t="s">
        <v>83</v>
      </c>
      <c r="C11" s="78">
        <v>16197</v>
      </c>
      <c r="D11" s="79" t="s">
        <v>79</v>
      </c>
      <c r="E11" s="78">
        <v>15439</v>
      </c>
      <c r="F11" s="80" t="s">
        <v>84</v>
      </c>
      <c r="G11" s="81">
        <v>14821</v>
      </c>
      <c r="H11" s="79" t="s">
        <v>79</v>
      </c>
      <c r="I11" s="78">
        <v>12480</v>
      </c>
      <c r="J11" s="79" t="s">
        <v>86</v>
      </c>
      <c r="K11" s="81">
        <v>11166</v>
      </c>
      <c r="L11" s="80" t="s">
        <v>78</v>
      </c>
      <c r="M11" s="78">
        <v>10685</v>
      </c>
      <c r="N11" s="80" t="s">
        <v>80</v>
      </c>
      <c r="O11" s="81">
        <v>9151</v>
      </c>
      <c r="P11" s="79" t="s">
        <v>77</v>
      </c>
      <c r="Q11" s="78">
        <v>9578</v>
      </c>
      <c r="R11" s="80" t="s">
        <v>80</v>
      </c>
      <c r="S11" s="81">
        <v>10249</v>
      </c>
      <c r="T11" s="79" t="s">
        <v>87</v>
      </c>
      <c r="U11" s="78">
        <v>11813</v>
      </c>
      <c r="V11" s="82">
        <v>7</v>
      </c>
    </row>
    <row r="12" spans="1:22" ht="14.25" customHeight="1" x14ac:dyDescent="0.3">
      <c r="A12" s="76">
        <v>8</v>
      </c>
      <c r="B12" s="77" t="s">
        <v>88</v>
      </c>
      <c r="C12" s="78">
        <v>15311</v>
      </c>
      <c r="D12" s="79" t="s">
        <v>78</v>
      </c>
      <c r="E12" s="78">
        <v>15301</v>
      </c>
      <c r="F12" s="80" t="s">
        <v>88</v>
      </c>
      <c r="G12" s="81">
        <v>11355</v>
      </c>
      <c r="H12" s="79" t="s">
        <v>61</v>
      </c>
      <c r="I12" s="78">
        <v>9236</v>
      </c>
      <c r="J12" s="79" t="s">
        <v>48</v>
      </c>
      <c r="K12" s="81">
        <v>10022</v>
      </c>
      <c r="L12" s="80" t="s">
        <v>86</v>
      </c>
      <c r="M12" s="78">
        <v>10189</v>
      </c>
      <c r="N12" s="80" t="s">
        <v>87</v>
      </c>
      <c r="O12" s="81">
        <v>8957</v>
      </c>
      <c r="P12" s="79" t="s">
        <v>81</v>
      </c>
      <c r="Q12" s="78">
        <v>8781</v>
      </c>
      <c r="R12" s="80" t="s">
        <v>51</v>
      </c>
      <c r="S12" s="81">
        <v>9955</v>
      </c>
      <c r="T12" s="79" t="s">
        <v>83</v>
      </c>
      <c r="U12" s="78">
        <v>9962</v>
      </c>
      <c r="V12" s="82">
        <v>8</v>
      </c>
    </row>
    <row r="13" spans="1:22" ht="14.25" customHeight="1" x14ac:dyDescent="0.3">
      <c r="A13" s="76">
        <v>9</v>
      </c>
      <c r="B13" s="77" t="s">
        <v>89</v>
      </c>
      <c r="C13" s="78">
        <v>14071</v>
      </c>
      <c r="D13" s="79" t="s">
        <v>88</v>
      </c>
      <c r="E13" s="78">
        <v>12632</v>
      </c>
      <c r="F13" s="80" t="s">
        <v>79</v>
      </c>
      <c r="G13" s="81">
        <v>9430</v>
      </c>
      <c r="H13" s="79" t="s">
        <v>43</v>
      </c>
      <c r="I13" s="78">
        <v>8362</v>
      </c>
      <c r="J13" s="79" t="s">
        <v>71</v>
      </c>
      <c r="K13" s="81">
        <v>9412</v>
      </c>
      <c r="L13" s="80" t="s">
        <v>51</v>
      </c>
      <c r="M13" s="78">
        <v>8424</v>
      </c>
      <c r="N13" s="80" t="s">
        <v>81</v>
      </c>
      <c r="O13" s="81">
        <v>8921</v>
      </c>
      <c r="P13" s="79" t="s">
        <v>70</v>
      </c>
      <c r="Q13" s="78">
        <v>6879</v>
      </c>
      <c r="R13" s="80" t="s">
        <v>41</v>
      </c>
      <c r="S13" s="81">
        <v>8193</v>
      </c>
      <c r="T13" s="79" t="s">
        <v>84</v>
      </c>
      <c r="U13" s="78">
        <v>7895</v>
      </c>
      <c r="V13" s="82">
        <v>9</v>
      </c>
    </row>
    <row r="14" spans="1:22" ht="14.25" customHeight="1" thickBot="1" x14ac:dyDescent="0.35">
      <c r="A14" s="89">
        <v>10</v>
      </c>
      <c r="B14" s="90" t="s">
        <v>79</v>
      </c>
      <c r="C14" s="91">
        <v>13676</v>
      </c>
      <c r="D14" s="92" t="s">
        <v>83</v>
      </c>
      <c r="E14" s="91">
        <v>11860</v>
      </c>
      <c r="F14" s="93" t="s">
        <v>83</v>
      </c>
      <c r="G14" s="94">
        <v>9191</v>
      </c>
      <c r="H14" s="92" t="s">
        <v>80</v>
      </c>
      <c r="I14" s="91">
        <v>7750</v>
      </c>
      <c r="J14" s="92" t="s">
        <v>90</v>
      </c>
      <c r="K14" s="94">
        <v>8575</v>
      </c>
      <c r="L14" s="93" t="s">
        <v>87</v>
      </c>
      <c r="M14" s="91">
        <v>8311</v>
      </c>
      <c r="N14" s="93" t="s">
        <v>76</v>
      </c>
      <c r="O14" s="94">
        <v>8157</v>
      </c>
      <c r="P14" s="92" t="s">
        <v>76</v>
      </c>
      <c r="Q14" s="91">
        <v>6016</v>
      </c>
      <c r="R14" s="93" t="s">
        <v>85</v>
      </c>
      <c r="S14" s="94">
        <v>7555</v>
      </c>
      <c r="T14" s="92" t="s">
        <v>66</v>
      </c>
      <c r="U14" s="91">
        <v>7525</v>
      </c>
      <c r="V14" s="95">
        <v>10</v>
      </c>
    </row>
    <row r="15" spans="1:22" s="103" customFormat="1" ht="14.25" customHeight="1" x14ac:dyDescent="0.3">
      <c r="A15" s="67" t="s">
        <v>157</v>
      </c>
      <c r="B15" s="313">
        <v>2011</v>
      </c>
      <c r="C15" s="311"/>
      <c r="D15" s="312">
        <v>2012</v>
      </c>
      <c r="E15" s="311"/>
      <c r="F15" s="310">
        <v>2013</v>
      </c>
      <c r="G15" s="311"/>
      <c r="H15" s="310">
        <v>2014</v>
      </c>
      <c r="I15" s="311"/>
      <c r="J15" s="310">
        <v>2015</v>
      </c>
      <c r="K15" s="312"/>
      <c r="L15" s="312">
        <v>2016</v>
      </c>
      <c r="M15" s="311"/>
      <c r="N15" s="312">
        <v>2017</v>
      </c>
      <c r="O15" s="311"/>
      <c r="P15" s="312">
        <v>2018</v>
      </c>
      <c r="Q15" s="311"/>
      <c r="R15" s="310">
        <v>2019</v>
      </c>
      <c r="S15" s="311"/>
      <c r="T15" s="310"/>
      <c r="U15" s="311"/>
      <c r="V15" s="68" t="s">
        <v>209</v>
      </c>
    </row>
    <row r="16" spans="1:22" ht="14.25" customHeight="1" x14ac:dyDescent="0.3">
      <c r="A16" s="69">
        <v>1</v>
      </c>
      <c r="B16" s="70" t="s">
        <v>67</v>
      </c>
      <c r="C16" s="71">
        <v>25222</v>
      </c>
      <c r="D16" s="72" t="s">
        <v>67</v>
      </c>
      <c r="E16" s="71">
        <v>30296</v>
      </c>
      <c r="F16" s="73" t="s">
        <v>83</v>
      </c>
      <c r="G16" s="74">
        <v>22955</v>
      </c>
      <c r="H16" s="72" t="s">
        <v>83</v>
      </c>
      <c r="I16" s="71">
        <v>25576</v>
      </c>
      <c r="J16" s="72" t="s">
        <v>78</v>
      </c>
      <c r="K16" s="74">
        <v>50669</v>
      </c>
      <c r="L16" s="73" t="s">
        <v>159</v>
      </c>
      <c r="M16" s="71">
        <v>43533</v>
      </c>
      <c r="N16" s="73" t="s">
        <v>78</v>
      </c>
      <c r="O16" s="74">
        <v>45213</v>
      </c>
      <c r="P16" s="72" t="s">
        <v>78</v>
      </c>
      <c r="Q16" s="71">
        <v>62608</v>
      </c>
      <c r="R16" s="73" t="s">
        <v>78</v>
      </c>
      <c r="S16" s="74">
        <v>51838</v>
      </c>
      <c r="T16" s="72"/>
      <c r="U16" s="71"/>
      <c r="V16" s="75">
        <v>1</v>
      </c>
    </row>
    <row r="17" spans="1:22" ht="14.25" customHeight="1" x14ac:dyDescent="0.3">
      <c r="A17" s="76">
        <v>2</v>
      </c>
      <c r="B17" s="77" t="s">
        <v>80</v>
      </c>
      <c r="C17" s="78">
        <v>21010</v>
      </c>
      <c r="D17" s="79" t="s">
        <v>83</v>
      </c>
      <c r="E17" s="78">
        <v>28821</v>
      </c>
      <c r="F17" s="80" t="s">
        <v>46</v>
      </c>
      <c r="G17" s="81">
        <v>20286</v>
      </c>
      <c r="H17" s="79" t="s">
        <v>46</v>
      </c>
      <c r="I17" s="78">
        <v>18258</v>
      </c>
      <c r="J17" s="79" t="s">
        <v>159</v>
      </c>
      <c r="K17" s="81">
        <v>17145</v>
      </c>
      <c r="L17" s="80" t="s">
        <v>78</v>
      </c>
      <c r="M17" s="78">
        <v>39036</v>
      </c>
      <c r="N17" s="80" t="s">
        <v>83</v>
      </c>
      <c r="O17" s="81">
        <v>26949</v>
      </c>
      <c r="P17" s="79" t="s">
        <v>83</v>
      </c>
      <c r="Q17" s="78">
        <v>29329</v>
      </c>
      <c r="R17" s="80" t="s">
        <v>88</v>
      </c>
      <c r="S17" s="81">
        <v>23056</v>
      </c>
      <c r="T17" s="79"/>
      <c r="U17" s="78"/>
      <c r="V17" s="82">
        <v>2</v>
      </c>
    </row>
    <row r="18" spans="1:22" ht="14.25" customHeight="1" x14ac:dyDescent="0.3">
      <c r="A18" s="76">
        <v>3</v>
      </c>
      <c r="B18" s="77" t="s">
        <v>51</v>
      </c>
      <c r="C18" s="78">
        <v>18789</v>
      </c>
      <c r="D18" s="79" t="s">
        <v>46</v>
      </c>
      <c r="E18" s="78">
        <v>24248</v>
      </c>
      <c r="F18" s="80" t="s">
        <v>77</v>
      </c>
      <c r="G18" s="81">
        <v>19395</v>
      </c>
      <c r="H18" s="79" t="s">
        <v>79</v>
      </c>
      <c r="I18" s="78">
        <v>14964</v>
      </c>
      <c r="J18" s="79" t="s">
        <v>81</v>
      </c>
      <c r="K18" s="81">
        <v>16746</v>
      </c>
      <c r="L18" s="80" t="s">
        <v>84</v>
      </c>
      <c r="M18" s="78">
        <v>13152</v>
      </c>
      <c r="N18" s="80" t="s">
        <v>159</v>
      </c>
      <c r="O18" s="81">
        <v>20400</v>
      </c>
      <c r="P18" s="79" t="s">
        <v>77</v>
      </c>
      <c r="Q18" s="78">
        <v>28284</v>
      </c>
      <c r="R18" s="80" t="s">
        <v>77</v>
      </c>
      <c r="S18" s="81">
        <v>22964</v>
      </c>
      <c r="T18" s="79"/>
      <c r="U18" s="78"/>
      <c r="V18" s="82">
        <v>3</v>
      </c>
    </row>
    <row r="19" spans="1:22" ht="14.25" customHeight="1" x14ac:dyDescent="0.3">
      <c r="A19" s="76">
        <v>4</v>
      </c>
      <c r="B19" s="77" t="s">
        <v>83</v>
      </c>
      <c r="C19" s="78">
        <v>17452</v>
      </c>
      <c r="D19" s="79" t="s">
        <v>79</v>
      </c>
      <c r="E19" s="78">
        <v>17601</v>
      </c>
      <c r="F19" s="80" t="s">
        <v>81</v>
      </c>
      <c r="G19" s="81">
        <v>16836</v>
      </c>
      <c r="H19" s="79" t="s">
        <v>77</v>
      </c>
      <c r="I19" s="78">
        <v>13451</v>
      </c>
      <c r="J19" s="79" t="s">
        <v>79</v>
      </c>
      <c r="K19" s="81">
        <v>13853</v>
      </c>
      <c r="L19" s="80" t="s">
        <v>160</v>
      </c>
      <c r="M19" s="78">
        <v>11293</v>
      </c>
      <c r="N19" s="80" t="s">
        <v>84</v>
      </c>
      <c r="O19" s="81">
        <v>16590</v>
      </c>
      <c r="P19" s="79" t="s">
        <v>88</v>
      </c>
      <c r="Q19" s="78">
        <v>27188</v>
      </c>
      <c r="R19" s="80" t="s">
        <v>81</v>
      </c>
      <c r="S19" s="81">
        <v>21089</v>
      </c>
      <c r="T19" s="79"/>
      <c r="U19" s="78"/>
      <c r="V19" s="82">
        <v>4</v>
      </c>
    </row>
    <row r="20" spans="1:22" ht="14.25" customHeight="1" x14ac:dyDescent="0.3">
      <c r="A20" s="76">
        <v>5</v>
      </c>
      <c r="B20" s="77" t="s">
        <v>84</v>
      </c>
      <c r="C20" s="78">
        <v>13798</v>
      </c>
      <c r="D20" s="79" t="s">
        <v>77</v>
      </c>
      <c r="E20" s="78">
        <v>13105</v>
      </c>
      <c r="F20" s="80" t="s">
        <v>67</v>
      </c>
      <c r="G20" s="81">
        <v>16614</v>
      </c>
      <c r="H20" s="79" t="s">
        <v>71</v>
      </c>
      <c r="I20" s="78">
        <v>12888</v>
      </c>
      <c r="J20" s="79" t="s">
        <v>51</v>
      </c>
      <c r="K20" s="81">
        <v>13757</v>
      </c>
      <c r="L20" s="80" t="s">
        <v>83</v>
      </c>
      <c r="M20" s="78">
        <v>11066</v>
      </c>
      <c r="N20" s="80" t="s">
        <v>88</v>
      </c>
      <c r="O20" s="81">
        <v>15289</v>
      </c>
      <c r="P20" s="79" t="s">
        <v>159</v>
      </c>
      <c r="Q20" s="78">
        <v>20973</v>
      </c>
      <c r="R20" s="80" t="s">
        <v>79</v>
      </c>
      <c r="S20" s="81">
        <v>19271</v>
      </c>
      <c r="T20" s="79"/>
      <c r="U20" s="78"/>
      <c r="V20" s="82">
        <v>5</v>
      </c>
    </row>
    <row r="21" spans="1:22" ht="14.25" customHeight="1" x14ac:dyDescent="0.3">
      <c r="A21" s="83">
        <v>6</v>
      </c>
      <c r="B21" s="84" t="s">
        <v>77</v>
      </c>
      <c r="C21" s="85">
        <v>12761</v>
      </c>
      <c r="D21" s="86" t="s">
        <v>80</v>
      </c>
      <c r="E21" s="85">
        <v>13065</v>
      </c>
      <c r="F21" s="87" t="s">
        <v>79</v>
      </c>
      <c r="G21" s="88">
        <v>15653</v>
      </c>
      <c r="H21" s="86" t="s">
        <v>81</v>
      </c>
      <c r="I21" s="85">
        <v>11820</v>
      </c>
      <c r="J21" s="86" t="s">
        <v>84</v>
      </c>
      <c r="K21" s="88">
        <v>11584</v>
      </c>
      <c r="L21" s="87" t="s">
        <v>77</v>
      </c>
      <c r="M21" s="85">
        <v>9984</v>
      </c>
      <c r="N21" s="87" t="s">
        <v>77</v>
      </c>
      <c r="O21" s="88">
        <v>9553</v>
      </c>
      <c r="P21" s="86" t="s">
        <v>67</v>
      </c>
      <c r="Q21" s="85">
        <v>20493</v>
      </c>
      <c r="R21" s="87" t="s">
        <v>90</v>
      </c>
      <c r="S21" s="88">
        <v>18845</v>
      </c>
      <c r="T21" s="86"/>
      <c r="U21" s="85"/>
      <c r="V21" s="82">
        <v>6</v>
      </c>
    </row>
    <row r="22" spans="1:22" ht="14.25" customHeight="1" x14ac:dyDescent="0.3">
      <c r="A22" s="76">
        <v>7</v>
      </c>
      <c r="B22" s="77" t="s">
        <v>79</v>
      </c>
      <c r="C22" s="78">
        <v>10735</v>
      </c>
      <c r="D22" s="79" t="s">
        <v>84</v>
      </c>
      <c r="E22" s="78">
        <v>8585</v>
      </c>
      <c r="F22" s="80" t="s">
        <v>84</v>
      </c>
      <c r="G22" s="81">
        <v>9268</v>
      </c>
      <c r="H22" s="79" t="s">
        <v>62</v>
      </c>
      <c r="I22" s="78">
        <v>11494</v>
      </c>
      <c r="J22" s="79" t="s">
        <v>80</v>
      </c>
      <c r="K22" s="81">
        <v>9757</v>
      </c>
      <c r="L22" s="80" t="s">
        <v>81</v>
      </c>
      <c r="M22" s="78">
        <v>8188</v>
      </c>
      <c r="N22" s="80" t="s">
        <v>86</v>
      </c>
      <c r="O22" s="81">
        <v>8947</v>
      </c>
      <c r="P22" s="79" t="s">
        <v>84</v>
      </c>
      <c r="Q22" s="78">
        <v>16399</v>
      </c>
      <c r="R22" s="80" t="s">
        <v>159</v>
      </c>
      <c r="S22" s="81">
        <v>16986</v>
      </c>
      <c r="T22" s="79"/>
      <c r="U22" s="78"/>
      <c r="V22" s="82">
        <v>7</v>
      </c>
    </row>
    <row r="23" spans="1:22" ht="14.25" customHeight="1" x14ac:dyDescent="0.3">
      <c r="A23" s="76">
        <v>8</v>
      </c>
      <c r="B23" s="77" t="s">
        <v>85</v>
      </c>
      <c r="C23" s="78">
        <v>8741</v>
      </c>
      <c r="D23" s="79" t="s">
        <v>52</v>
      </c>
      <c r="E23" s="78">
        <v>5683</v>
      </c>
      <c r="F23" s="80" t="s">
        <v>161</v>
      </c>
      <c r="G23" s="81">
        <v>8692</v>
      </c>
      <c r="H23" s="79" t="s">
        <v>84</v>
      </c>
      <c r="I23" s="78">
        <v>10072</v>
      </c>
      <c r="J23" s="79" t="s">
        <v>86</v>
      </c>
      <c r="K23" s="81">
        <v>8393</v>
      </c>
      <c r="L23" s="80" t="s">
        <v>86</v>
      </c>
      <c r="M23" s="78">
        <v>8017</v>
      </c>
      <c r="N23" s="80" t="s">
        <v>87</v>
      </c>
      <c r="O23" s="81">
        <v>6285</v>
      </c>
      <c r="P23" s="79" t="s">
        <v>79</v>
      </c>
      <c r="Q23" s="78">
        <v>15530</v>
      </c>
      <c r="R23" s="80" t="s">
        <v>86</v>
      </c>
      <c r="S23" s="81">
        <v>16037</v>
      </c>
      <c r="T23" s="79"/>
      <c r="U23" s="78"/>
      <c r="V23" s="82">
        <v>8</v>
      </c>
    </row>
    <row r="24" spans="1:22" ht="14.25" customHeight="1" x14ac:dyDescent="0.3">
      <c r="A24" s="76">
        <v>9</v>
      </c>
      <c r="B24" s="77" t="s">
        <v>53</v>
      </c>
      <c r="C24" s="78">
        <v>8026</v>
      </c>
      <c r="D24" s="79" t="s">
        <v>51</v>
      </c>
      <c r="E24" s="78">
        <v>4849</v>
      </c>
      <c r="F24" s="80" t="s">
        <v>90</v>
      </c>
      <c r="G24" s="81">
        <v>6170</v>
      </c>
      <c r="H24" s="79" t="s">
        <v>90</v>
      </c>
      <c r="I24" s="78">
        <v>8846</v>
      </c>
      <c r="J24" s="79" t="s">
        <v>77</v>
      </c>
      <c r="K24" s="81">
        <v>8152</v>
      </c>
      <c r="L24" s="80" t="s">
        <v>90</v>
      </c>
      <c r="M24" s="78">
        <v>8011</v>
      </c>
      <c r="N24" s="80" t="s">
        <v>89</v>
      </c>
      <c r="O24" s="81">
        <v>5789</v>
      </c>
      <c r="P24" s="79" t="s">
        <v>80</v>
      </c>
      <c r="Q24" s="78">
        <v>12947</v>
      </c>
      <c r="R24" s="80" t="s">
        <v>161</v>
      </c>
      <c r="S24" s="81">
        <v>12408</v>
      </c>
      <c r="T24" s="79"/>
      <c r="U24" s="78"/>
      <c r="V24" s="82">
        <v>9</v>
      </c>
    </row>
    <row r="25" spans="1:22" ht="14.25" customHeight="1" thickBot="1" x14ac:dyDescent="0.35">
      <c r="A25" s="89">
        <v>10</v>
      </c>
      <c r="B25" s="90" t="s">
        <v>90</v>
      </c>
      <c r="C25" s="91">
        <v>7487</v>
      </c>
      <c r="D25" s="92" t="s">
        <v>86</v>
      </c>
      <c r="E25" s="91">
        <v>4794</v>
      </c>
      <c r="F25" s="93" t="s">
        <v>86</v>
      </c>
      <c r="G25" s="94">
        <v>5323</v>
      </c>
      <c r="H25" s="92" t="s">
        <v>80</v>
      </c>
      <c r="I25" s="91">
        <v>7553</v>
      </c>
      <c r="J25" s="92" t="s">
        <v>83</v>
      </c>
      <c r="K25" s="94">
        <v>7064</v>
      </c>
      <c r="L25" s="93" t="s">
        <v>89</v>
      </c>
      <c r="M25" s="91">
        <v>6295</v>
      </c>
      <c r="N25" s="93" t="s">
        <v>80</v>
      </c>
      <c r="O25" s="94">
        <v>5733</v>
      </c>
      <c r="P25" s="92" t="s">
        <v>86</v>
      </c>
      <c r="Q25" s="91">
        <v>12781</v>
      </c>
      <c r="R25" s="93" t="s">
        <v>83</v>
      </c>
      <c r="S25" s="94">
        <v>12390</v>
      </c>
      <c r="T25" s="92"/>
      <c r="U25" s="91"/>
      <c r="V25" s="95">
        <v>10</v>
      </c>
    </row>
    <row r="26" spans="1:22" ht="14.25" customHeight="1" x14ac:dyDescent="0.3">
      <c r="B26" s="80"/>
      <c r="C26" s="81"/>
      <c r="D26" s="80"/>
      <c r="E26" s="81"/>
      <c r="F26" s="80"/>
      <c r="G26" s="81"/>
      <c r="H26" s="80"/>
      <c r="I26" s="81"/>
      <c r="J26" s="80"/>
      <c r="K26" s="81"/>
      <c r="L26" s="80"/>
      <c r="M26" s="81"/>
      <c r="N26" s="80"/>
      <c r="O26" s="81"/>
      <c r="P26" s="80"/>
      <c r="Q26" s="81"/>
      <c r="R26" s="80"/>
      <c r="S26" s="81"/>
      <c r="T26" s="80"/>
      <c r="U26" s="81"/>
      <c r="V26" s="103"/>
    </row>
    <row r="27" spans="1:22" s="4" customFormat="1" ht="14.25" customHeight="1" thickBot="1" x14ac:dyDescent="0.35">
      <c r="A27" s="39" t="s">
        <v>162</v>
      </c>
      <c r="B27" s="44"/>
      <c r="C27" s="45"/>
      <c r="D27" s="14"/>
      <c r="E27" s="45"/>
      <c r="F27" s="14"/>
      <c r="G27" s="45"/>
      <c r="H27" s="14"/>
      <c r="I27" s="45"/>
      <c r="J27" s="46"/>
      <c r="K27" s="45"/>
      <c r="L27" s="14"/>
      <c r="M27" s="45"/>
      <c r="N27" s="14"/>
      <c r="O27" s="45"/>
      <c r="P27" s="14"/>
      <c r="Q27" s="45"/>
      <c r="R27" s="14"/>
      <c r="S27" s="45"/>
      <c r="T27" s="14"/>
      <c r="U27" s="47" t="s">
        <v>156</v>
      </c>
      <c r="V27" s="18"/>
    </row>
    <row r="28" spans="1:22" s="103" customFormat="1" ht="14.25" customHeight="1" x14ac:dyDescent="0.3">
      <c r="A28" s="67" t="s">
        <v>157</v>
      </c>
      <c r="B28" s="313">
        <v>2001</v>
      </c>
      <c r="C28" s="311"/>
      <c r="D28" s="310">
        <v>2002</v>
      </c>
      <c r="E28" s="311"/>
      <c r="F28" s="310">
        <v>2003</v>
      </c>
      <c r="G28" s="311"/>
      <c r="H28" s="310">
        <v>2004</v>
      </c>
      <c r="I28" s="311"/>
      <c r="J28" s="310">
        <v>2005</v>
      </c>
      <c r="K28" s="312"/>
      <c r="L28" s="312">
        <v>2006</v>
      </c>
      <c r="M28" s="311"/>
      <c r="N28" s="312">
        <v>2007</v>
      </c>
      <c r="O28" s="311"/>
      <c r="P28" s="310">
        <v>2008</v>
      </c>
      <c r="Q28" s="311"/>
      <c r="R28" s="310">
        <v>2009</v>
      </c>
      <c r="S28" s="311"/>
      <c r="T28" s="310">
        <v>2010</v>
      </c>
      <c r="U28" s="311"/>
      <c r="V28" s="68" t="s">
        <v>210</v>
      </c>
    </row>
    <row r="29" spans="1:22" ht="14.25" customHeight="1" x14ac:dyDescent="0.3">
      <c r="A29" s="69">
        <v>1</v>
      </c>
      <c r="B29" s="70" t="s">
        <v>40</v>
      </c>
      <c r="C29" s="71">
        <v>-12861</v>
      </c>
      <c r="D29" s="72" t="s">
        <v>41</v>
      </c>
      <c r="E29" s="71">
        <v>-12056</v>
      </c>
      <c r="F29" s="73" t="s">
        <v>41</v>
      </c>
      <c r="G29" s="74">
        <v>-30080</v>
      </c>
      <c r="H29" s="72" t="s">
        <v>41</v>
      </c>
      <c r="I29" s="71">
        <v>-17700</v>
      </c>
      <c r="J29" s="72" t="s">
        <v>163</v>
      </c>
      <c r="K29" s="74">
        <v>-11623</v>
      </c>
      <c r="L29" s="73" t="s">
        <v>43</v>
      </c>
      <c r="M29" s="71">
        <v>-23923</v>
      </c>
      <c r="N29" s="73" t="s">
        <v>43</v>
      </c>
      <c r="O29" s="74">
        <v>-18091</v>
      </c>
      <c r="P29" s="72" t="s">
        <v>44</v>
      </c>
      <c r="Q29" s="71">
        <v>-21778</v>
      </c>
      <c r="R29" s="73" t="s">
        <v>45</v>
      </c>
      <c r="S29" s="74">
        <v>-9844</v>
      </c>
      <c r="T29" s="72" t="s">
        <v>46</v>
      </c>
      <c r="U29" s="71">
        <v>-12700</v>
      </c>
      <c r="V29" s="75">
        <v>1</v>
      </c>
    </row>
    <row r="30" spans="1:22" ht="14.25" customHeight="1" x14ac:dyDescent="0.3">
      <c r="A30" s="76">
        <v>2</v>
      </c>
      <c r="B30" s="77" t="s">
        <v>48</v>
      </c>
      <c r="C30" s="78">
        <v>-12605</v>
      </c>
      <c r="D30" s="79" t="s">
        <v>49</v>
      </c>
      <c r="E30" s="78">
        <v>-10115</v>
      </c>
      <c r="F30" s="80" t="s">
        <v>50</v>
      </c>
      <c r="G30" s="81">
        <v>-12917</v>
      </c>
      <c r="H30" s="79" t="s">
        <v>51</v>
      </c>
      <c r="I30" s="78">
        <v>-10108</v>
      </c>
      <c r="J30" s="79" t="s">
        <v>52</v>
      </c>
      <c r="K30" s="81">
        <v>-9243</v>
      </c>
      <c r="L30" s="80" t="s">
        <v>53</v>
      </c>
      <c r="M30" s="78">
        <v>-16875</v>
      </c>
      <c r="N30" s="80" t="s">
        <v>46</v>
      </c>
      <c r="O30" s="81">
        <v>-11120</v>
      </c>
      <c r="P30" s="79" t="s">
        <v>54</v>
      </c>
      <c r="Q30" s="78">
        <v>-18364</v>
      </c>
      <c r="R30" s="80" t="s">
        <v>55</v>
      </c>
      <c r="S30" s="81">
        <v>-8975</v>
      </c>
      <c r="T30" s="79" t="s">
        <v>54</v>
      </c>
      <c r="U30" s="78">
        <v>-10963</v>
      </c>
      <c r="V30" s="82">
        <v>2</v>
      </c>
    </row>
    <row r="31" spans="1:22" ht="14.25" customHeight="1" x14ac:dyDescent="0.3">
      <c r="A31" s="76">
        <v>3</v>
      </c>
      <c r="B31" s="77" t="s">
        <v>56</v>
      </c>
      <c r="C31" s="78">
        <v>-12297</v>
      </c>
      <c r="D31" s="79" t="s">
        <v>56</v>
      </c>
      <c r="E31" s="78">
        <v>-8949</v>
      </c>
      <c r="F31" s="80" t="s">
        <v>51</v>
      </c>
      <c r="G31" s="81">
        <v>-12344</v>
      </c>
      <c r="H31" s="79" t="s">
        <v>46</v>
      </c>
      <c r="I31" s="78">
        <v>-7827</v>
      </c>
      <c r="J31" s="79" t="s">
        <v>49</v>
      </c>
      <c r="K31" s="81">
        <v>-8883</v>
      </c>
      <c r="L31" s="80" t="s">
        <v>57</v>
      </c>
      <c r="M31" s="78">
        <v>-8528</v>
      </c>
      <c r="N31" s="80" t="s">
        <v>52</v>
      </c>
      <c r="O31" s="81">
        <v>-7973</v>
      </c>
      <c r="P31" s="79" t="s">
        <v>43</v>
      </c>
      <c r="Q31" s="78">
        <v>-18009</v>
      </c>
      <c r="R31" s="80" t="s">
        <v>58</v>
      </c>
      <c r="S31" s="81">
        <v>-8602</v>
      </c>
      <c r="T31" s="79" t="s">
        <v>59</v>
      </c>
      <c r="U31" s="78">
        <v>-9916</v>
      </c>
      <c r="V31" s="82">
        <v>3</v>
      </c>
    </row>
    <row r="32" spans="1:22" ht="14.25" customHeight="1" x14ac:dyDescent="0.3">
      <c r="A32" s="76">
        <v>4</v>
      </c>
      <c r="B32" s="77" t="s">
        <v>41</v>
      </c>
      <c r="C32" s="78">
        <v>-12222</v>
      </c>
      <c r="D32" s="79" t="s">
        <v>50</v>
      </c>
      <c r="E32" s="78">
        <v>-8948</v>
      </c>
      <c r="F32" s="80" t="s">
        <v>54</v>
      </c>
      <c r="G32" s="81">
        <v>-7892</v>
      </c>
      <c r="H32" s="79" t="s">
        <v>49</v>
      </c>
      <c r="I32" s="78">
        <v>-7770</v>
      </c>
      <c r="J32" s="79" t="s">
        <v>50</v>
      </c>
      <c r="K32" s="81">
        <v>-8794</v>
      </c>
      <c r="L32" s="80" t="s">
        <v>52</v>
      </c>
      <c r="M32" s="78">
        <v>-7990</v>
      </c>
      <c r="N32" s="80" t="s">
        <v>42</v>
      </c>
      <c r="O32" s="81">
        <v>-6615</v>
      </c>
      <c r="P32" s="79" t="s">
        <v>60</v>
      </c>
      <c r="Q32" s="78">
        <v>-10500</v>
      </c>
      <c r="R32" s="80" t="s">
        <v>61</v>
      </c>
      <c r="S32" s="81">
        <v>-8500</v>
      </c>
      <c r="T32" s="79" t="s">
        <v>47</v>
      </c>
      <c r="U32" s="78">
        <v>-9322</v>
      </c>
      <c r="V32" s="82">
        <v>4</v>
      </c>
    </row>
    <row r="33" spans="1:22" ht="14.25" customHeight="1" x14ac:dyDescent="0.3">
      <c r="A33" s="76">
        <v>5</v>
      </c>
      <c r="B33" s="77" t="s">
        <v>62</v>
      </c>
      <c r="C33" s="78">
        <v>-11188</v>
      </c>
      <c r="D33" s="79" t="s">
        <v>58</v>
      </c>
      <c r="E33" s="78">
        <v>-8700</v>
      </c>
      <c r="F33" s="80" t="s">
        <v>47</v>
      </c>
      <c r="G33" s="81">
        <v>-7494</v>
      </c>
      <c r="H33" s="79" t="s">
        <v>53</v>
      </c>
      <c r="I33" s="78">
        <v>-7278</v>
      </c>
      <c r="J33" s="79" t="s">
        <v>56</v>
      </c>
      <c r="K33" s="81">
        <v>-8437</v>
      </c>
      <c r="L33" s="80" t="s">
        <v>50</v>
      </c>
      <c r="M33" s="78">
        <v>-6969</v>
      </c>
      <c r="N33" s="80" t="s">
        <v>63</v>
      </c>
      <c r="O33" s="81">
        <v>-6114</v>
      </c>
      <c r="P33" s="79" t="s">
        <v>46</v>
      </c>
      <c r="Q33" s="78">
        <v>-9790</v>
      </c>
      <c r="R33" s="80" t="s">
        <v>50</v>
      </c>
      <c r="S33" s="81">
        <v>-8404</v>
      </c>
      <c r="T33" s="79" t="s">
        <v>41</v>
      </c>
      <c r="U33" s="78">
        <v>-9266</v>
      </c>
      <c r="V33" s="82">
        <v>5</v>
      </c>
    </row>
    <row r="34" spans="1:22" ht="14.25" customHeight="1" x14ac:dyDescent="0.3">
      <c r="A34" s="83">
        <v>6</v>
      </c>
      <c r="B34" s="84" t="s">
        <v>60</v>
      </c>
      <c r="C34" s="85">
        <v>-10811</v>
      </c>
      <c r="D34" s="86" t="s">
        <v>48</v>
      </c>
      <c r="E34" s="85">
        <v>-8521</v>
      </c>
      <c r="F34" s="87" t="s">
        <v>56</v>
      </c>
      <c r="G34" s="88">
        <v>-6949</v>
      </c>
      <c r="H34" s="86" t="s">
        <v>50</v>
      </c>
      <c r="I34" s="85">
        <v>-6947</v>
      </c>
      <c r="J34" s="86" t="s">
        <v>65</v>
      </c>
      <c r="K34" s="88">
        <v>-8299</v>
      </c>
      <c r="L34" s="87" t="s">
        <v>66</v>
      </c>
      <c r="M34" s="85">
        <v>-5507</v>
      </c>
      <c r="N34" s="87" t="s">
        <v>55</v>
      </c>
      <c r="O34" s="88">
        <v>-5715</v>
      </c>
      <c r="P34" s="86" t="s">
        <v>67</v>
      </c>
      <c r="Q34" s="85">
        <v>-9376</v>
      </c>
      <c r="R34" s="87" t="s">
        <v>44</v>
      </c>
      <c r="S34" s="88">
        <v>-8168</v>
      </c>
      <c r="T34" s="86" t="s">
        <v>58</v>
      </c>
      <c r="U34" s="85">
        <v>-9252</v>
      </c>
      <c r="V34" s="82">
        <v>6</v>
      </c>
    </row>
    <row r="35" spans="1:22" ht="14.25" customHeight="1" x14ac:dyDescent="0.3">
      <c r="A35" s="76">
        <v>7</v>
      </c>
      <c r="B35" s="77" t="s">
        <v>49</v>
      </c>
      <c r="C35" s="78">
        <v>-10022</v>
      </c>
      <c r="D35" s="79" t="s">
        <v>68</v>
      </c>
      <c r="E35" s="78">
        <v>-7235</v>
      </c>
      <c r="F35" s="80" t="s">
        <v>53</v>
      </c>
      <c r="G35" s="81">
        <v>-6893</v>
      </c>
      <c r="H35" s="79" t="s">
        <v>69</v>
      </c>
      <c r="I35" s="78">
        <v>-6099</v>
      </c>
      <c r="J35" s="79" t="s">
        <v>70</v>
      </c>
      <c r="K35" s="81">
        <v>-7586</v>
      </c>
      <c r="L35" s="80" t="s">
        <v>44</v>
      </c>
      <c r="M35" s="78">
        <v>-5445</v>
      </c>
      <c r="N35" s="80" t="s">
        <v>48</v>
      </c>
      <c r="O35" s="81">
        <v>-5600</v>
      </c>
      <c r="P35" s="79" t="s">
        <v>64</v>
      </c>
      <c r="Q35" s="78">
        <v>-8567</v>
      </c>
      <c r="R35" s="80" t="s">
        <v>71</v>
      </c>
      <c r="S35" s="81">
        <v>-7901</v>
      </c>
      <c r="T35" s="79" t="s">
        <v>71</v>
      </c>
      <c r="U35" s="78">
        <v>-9145</v>
      </c>
      <c r="V35" s="82">
        <v>7</v>
      </c>
    </row>
    <row r="36" spans="1:22" ht="14.25" customHeight="1" x14ac:dyDescent="0.3">
      <c r="A36" s="76">
        <v>8</v>
      </c>
      <c r="B36" s="77" t="s">
        <v>63</v>
      </c>
      <c r="C36" s="78">
        <v>-7906</v>
      </c>
      <c r="D36" s="79" t="s">
        <v>62</v>
      </c>
      <c r="E36" s="78">
        <v>-6765</v>
      </c>
      <c r="F36" s="80" t="s">
        <v>62</v>
      </c>
      <c r="G36" s="81">
        <v>-6539</v>
      </c>
      <c r="H36" s="79" t="s">
        <v>54</v>
      </c>
      <c r="I36" s="78">
        <v>-5266</v>
      </c>
      <c r="J36" s="79" t="s">
        <v>69</v>
      </c>
      <c r="K36" s="81">
        <v>-6904</v>
      </c>
      <c r="L36" s="80" t="s">
        <v>72</v>
      </c>
      <c r="M36" s="78">
        <v>-5401</v>
      </c>
      <c r="N36" s="80" t="s">
        <v>40</v>
      </c>
      <c r="O36" s="81">
        <v>-5300</v>
      </c>
      <c r="P36" s="79" t="s">
        <v>45</v>
      </c>
      <c r="Q36" s="78">
        <v>-8334</v>
      </c>
      <c r="R36" s="80" t="s">
        <v>64</v>
      </c>
      <c r="S36" s="81">
        <v>-7283</v>
      </c>
      <c r="T36" s="79" t="s">
        <v>73</v>
      </c>
      <c r="U36" s="78">
        <v>-8994</v>
      </c>
      <c r="V36" s="82">
        <v>8</v>
      </c>
    </row>
    <row r="37" spans="1:22" ht="14.25" customHeight="1" x14ac:dyDescent="0.3">
      <c r="A37" s="76">
        <v>9</v>
      </c>
      <c r="B37" s="77" t="s">
        <v>69</v>
      </c>
      <c r="C37" s="78">
        <v>-6545</v>
      </c>
      <c r="D37" s="79" t="s">
        <v>51</v>
      </c>
      <c r="E37" s="78">
        <v>-6547</v>
      </c>
      <c r="F37" s="80" t="s">
        <v>55</v>
      </c>
      <c r="G37" s="81">
        <v>-6502</v>
      </c>
      <c r="H37" s="79" t="s">
        <v>74</v>
      </c>
      <c r="I37" s="78">
        <v>-5174</v>
      </c>
      <c r="J37" s="79" t="s">
        <v>51</v>
      </c>
      <c r="K37" s="81">
        <v>-6610</v>
      </c>
      <c r="L37" s="80" t="s">
        <v>65</v>
      </c>
      <c r="M37" s="78">
        <v>-5380</v>
      </c>
      <c r="N37" s="80" t="s">
        <v>65</v>
      </c>
      <c r="O37" s="81">
        <v>-5145</v>
      </c>
      <c r="P37" s="79" t="s">
        <v>40</v>
      </c>
      <c r="Q37" s="78">
        <v>-7987</v>
      </c>
      <c r="R37" s="80" t="s">
        <v>47</v>
      </c>
      <c r="S37" s="81">
        <v>-6471</v>
      </c>
      <c r="T37" s="79" t="s">
        <v>50</v>
      </c>
      <c r="U37" s="78">
        <v>-8126</v>
      </c>
      <c r="V37" s="82">
        <v>9</v>
      </c>
    </row>
    <row r="38" spans="1:22" ht="14.25" customHeight="1" thickBot="1" x14ac:dyDescent="0.35">
      <c r="A38" s="89">
        <v>10</v>
      </c>
      <c r="B38" s="90" t="s">
        <v>75</v>
      </c>
      <c r="C38" s="91">
        <v>-5391</v>
      </c>
      <c r="D38" s="92" t="s">
        <v>60</v>
      </c>
      <c r="E38" s="91">
        <v>-6084</v>
      </c>
      <c r="F38" s="93" t="s">
        <v>49</v>
      </c>
      <c r="G38" s="94">
        <v>-5647</v>
      </c>
      <c r="H38" s="92" t="s">
        <v>45</v>
      </c>
      <c r="I38" s="91">
        <v>-4629</v>
      </c>
      <c r="J38" s="92" t="s">
        <v>59</v>
      </c>
      <c r="K38" s="94">
        <v>-5931</v>
      </c>
      <c r="L38" s="93" t="s">
        <v>42</v>
      </c>
      <c r="M38" s="91">
        <v>-5366</v>
      </c>
      <c r="N38" s="93" t="s">
        <v>50</v>
      </c>
      <c r="O38" s="94">
        <v>-4925</v>
      </c>
      <c r="P38" s="92" t="s">
        <v>65</v>
      </c>
      <c r="Q38" s="91">
        <v>-5182</v>
      </c>
      <c r="R38" s="93" t="s">
        <v>72</v>
      </c>
      <c r="S38" s="94">
        <v>-5770</v>
      </c>
      <c r="T38" s="92" t="s">
        <v>76</v>
      </c>
      <c r="U38" s="91">
        <v>-7882</v>
      </c>
      <c r="V38" s="95">
        <v>10</v>
      </c>
    </row>
    <row r="39" spans="1:22" s="103" customFormat="1" ht="14.25" customHeight="1" x14ac:dyDescent="0.3">
      <c r="A39" s="67" t="s">
        <v>157</v>
      </c>
      <c r="B39" s="313">
        <v>2011</v>
      </c>
      <c r="C39" s="311"/>
      <c r="D39" s="312">
        <v>2012</v>
      </c>
      <c r="E39" s="311"/>
      <c r="F39" s="310">
        <v>2013</v>
      </c>
      <c r="G39" s="311"/>
      <c r="H39" s="310">
        <v>2014</v>
      </c>
      <c r="I39" s="311"/>
      <c r="J39" s="310">
        <v>2015</v>
      </c>
      <c r="K39" s="312"/>
      <c r="L39" s="312">
        <v>2016</v>
      </c>
      <c r="M39" s="311"/>
      <c r="N39" s="312">
        <v>2017</v>
      </c>
      <c r="O39" s="311"/>
      <c r="P39" s="312">
        <v>2018</v>
      </c>
      <c r="Q39" s="311"/>
      <c r="R39" s="310">
        <v>2019</v>
      </c>
      <c r="S39" s="311"/>
      <c r="T39" s="310"/>
      <c r="U39" s="311"/>
      <c r="V39" s="68" t="s">
        <v>157</v>
      </c>
    </row>
    <row r="40" spans="1:22" ht="14.25" customHeight="1" x14ac:dyDescent="0.3">
      <c r="A40" s="69">
        <v>1</v>
      </c>
      <c r="B40" s="70" t="s">
        <v>47</v>
      </c>
      <c r="C40" s="71">
        <v>-12301</v>
      </c>
      <c r="D40" s="72" t="s">
        <v>41</v>
      </c>
      <c r="E40" s="71">
        <v>-13485</v>
      </c>
      <c r="F40" s="73" t="s">
        <v>59</v>
      </c>
      <c r="G40" s="74">
        <v>-10392</v>
      </c>
      <c r="H40" s="72" t="s">
        <v>59</v>
      </c>
      <c r="I40" s="71">
        <v>-12366</v>
      </c>
      <c r="J40" s="72" t="s">
        <v>49</v>
      </c>
      <c r="K40" s="74">
        <v>-20474</v>
      </c>
      <c r="L40" s="73" t="s">
        <v>49</v>
      </c>
      <c r="M40" s="71">
        <v>-16573</v>
      </c>
      <c r="N40" s="73" t="s">
        <v>61</v>
      </c>
      <c r="O40" s="74">
        <v>-14256</v>
      </c>
      <c r="P40" s="72" t="s">
        <v>61</v>
      </c>
      <c r="Q40" s="71">
        <v>-18632</v>
      </c>
      <c r="R40" s="73" t="s">
        <v>59</v>
      </c>
      <c r="S40" s="74">
        <v>-15248</v>
      </c>
      <c r="T40" s="72"/>
      <c r="U40" s="71"/>
      <c r="V40" s="75">
        <v>1</v>
      </c>
    </row>
    <row r="41" spans="1:22" ht="14.25" customHeight="1" x14ac:dyDescent="0.3">
      <c r="A41" s="76">
        <v>2</v>
      </c>
      <c r="B41" s="77" t="s">
        <v>54</v>
      </c>
      <c r="C41" s="78">
        <v>-10434</v>
      </c>
      <c r="D41" s="79" t="s">
        <v>49</v>
      </c>
      <c r="E41" s="78">
        <v>-9748</v>
      </c>
      <c r="F41" s="80" t="s">
        <v>50</v>
      </c>
      <c r="G41" s="81">
        <v>-9098</v>
      </c>
      <c r="H41" s="79" t="s">
        <v>48</v>
      </c>
      <c r="I41" s="78">
        <v>-11439</v>
      </c>
      <c r="J41" s="79" t="s">
        <v>61</v>
      </c>
      <c r="K41" s="81">
        <v>-13780</v>
      </c>
      <c r="L41" s="80" t="s">
        <v>62</v>
      </c>
      <c r="M41" s="78">
        <v>-13591</v>
      </c>
      <c r="N41" s="80" t="s">
        <v>50</v>
      </c>
      <c r="O41" s="81">
        <v>-14082</v>
      </c>
      <c r="P41" s="79" t="s">
        <v>55</v>
      </c>
      <c r="Q41" s="78">
        <v>-16535</v>
      </c>
      <c r="R41" s="80" t="s">
        <v>55</v>
      </c>
      <c r="S41" s="81">
        <v>-13583</v>
      </c>
      <c r="T41" s="79"/>
      <c r="U41" s="78"/>
      <c r="V41" s="82">
        <v>2</v>
      </c>
    </row>
    <row r="42" spans="1:22" ht="14.25" customHeight="1" x14ac:dyDescent="0.3">
      <c r="A42" s="76">
        <v>3</v>
      </c>
      <c r="B42" s="77" t="s">
        <v>44</v>
      </c>
      <c r="C42" s="78">
        <v>-9911</v>
      </c>
      <c r="D42" s="79" t="s">
        <v>50</v>
      </c>
      <c r="E42" s="78">
        <v>-9312</v>
      </c>
      <c r="F42" s="80" t="s">
        <v>41</v>
      </c>
      <c r="G42" s="81">
        <v>-8902</v>
      </c>
      <c r="H42" s="79" t="s">
        <v>50</v>
      </c>
      <c r="I42" s="78">
        <v>-10245</v>
      </c>
      <c r="J42" s="79" t="s">
        <v>59</v>
      </c>
      <c r="K42" s="81">
        <v>-10546</v>
      </c>
      <c r="L42" s="80" t="s">
        <v>61</v>
      </c>
      <c r="M42" s="78">
        <v>-11080</v>
      </c>
      <c r="N42" s="80" t="s">
        <v>62</v>
      </c>
      <c r="O42" s="81">
        <v>-12893</v>
      </c>
      <c r="P42" s="79" t="s">
        <v>43</v>
      </c>
      <c r="Q42" s="78">
        <v>-15534</v>
      </c>
      <c r="R42" s="80" t="s">
        <v>43</v>
      </c>
      <c r="S42" s="81">
        <v>-13381</v>
      </c>
      <c r="T42" s="79"/>
      <c r="U42" s="78"/>
      <c r="V42" s="82">
        <v>3</v>
      </c>
    </row>
    <row r="43" spans="1:22" ht="14.25" customHeight="1" x14ac:dyDescent="0.3">
      <c r="A43" s="76">
        <v>4</v>
      </c>
      <c r="B43" s="77" t="s">
        <v>50</v>
      </c>
      <c r="C43" s="78">
        <v>-9845</v>
      </c>
      <c r="D43" s="79" t="s">
        <v>47</v>
      </c>
      <c r="E43" s="78">
        <v>-8517</v>
      </c>
      <c r="F43" s="80" t="s">
        <v>58</v>
      </c>
      <c r="G43" s="81">
        <v>-7515</v>
      </c>
      <c r="H43" s="79" t="s">
        <v>64</v>
      </c>
      <c r="I43" s="78">
        <v>-10200</v>
      </c>
      <c r="J43" s="79" t="s">
        <v>50</v>
      </c>
      <c r="K43" s="81">
        <v>-10144</v>
      </c>
      <c r="L43" s="80" t="s">
        <v>47</v>
      </c>
      <c r="M43" s="78">
        <v>-10477</v>
      </c>
      <c r="N43" s="80" t="s">
        <v>64</v>
      </c>
      <c r="O43" s="81">
        <v>-11526</v>
      </c>
      <c r="P43" s="79" t="s">
        <v>62</v>
      </c>
      <c r="Q43" s="78">
        <v>-15191</v>
      </c>
      <c r="R43" s="80" t="s">
        <v>64</v>
      </c>
      <c r="S43" s="81">
        <v>-11347</v>
      </c>
      <c r="T43" s="79"/>
      <c r="U43" s="78"/>
      <c r="V43" s="82">
        <v>4</v>
      </c>
    </row>
    <row r="44" spans="1:22" ht="14.25" customHeight="1" x14ac:dyDescent="0.3">
      <c r="A44" s="76">
        <v>5</v>
      </c>
      <c r="B44" s="77" t="s">
        <v>64</v>
      </c>
      <c r="C44" s="78">
        <v>-9624</v>
      </c>
      <c r="D44" s="79" t="s">
        <v>59</v>
      </c>
      <c r="E44" s="78">
        <v>-7539</v>
      </c>
      <c r="F44" s="80" t="s">
        <v>47</v>
      </c>
      <c r="G44" s="81">
        <v>-7435</v>
      </c>
      <c r="H44" s="79" t="s">
        <v>43</v>
      </c>
      <c r="I44" s="78">
        <v>-10160</v>
      </c>
      <c r="J44" s="79" t="s">
        <v>48</v>
      </c>
      <c r="K44" s="81">
        <v>-9409</v>
      </c>
      <c r="L44" s="80" t="s">
        <v>48</v>
      </c>
      <c r="M44" s="78">
        <v>-10396</v>
      </c>
      <c r="N44" s="80" t="s">
        <v>55</v>
      </c>
      <c r="O44" s="81">
        <v>-11234</v>
      </c>
      <c r="P44" s="79" t="s">
        <v>64</v>
      </c>
      <c r="Q44" s="78">
        <v>-12899</v>
      </c>
      <c r="R44" s="80" t="s">
        <v>46</v>
      </c>
      <c r="S44" s="81">
        <v>-11068</v>
      </c>
      <c r="T44" s="79"/>
      <c r="U44" s="78"/>
      <c r="V44" s="82">
        <v>5</v>
      </c>
    </row>
    <row r="45" spans="1:22" ht="14.25" customHeight="1" x14ac:dyDescent="0.3">
      <c r="A45" s="83">
        <v>6</v>
      </c>
      <c r="B45" s="84" t="s">
        <v>55</v>
      </c>
      <c r="C45" s="85">
        <v>-9181</v>
      </c>
      <c r="D45" s="86" t="s">
        <v>64</v>
      </c>
      <c r="E45" s="85">
        <v>-7518</v>
      </c>
      <c r="F45" s="87" t="s">
        <v>48</v>
      </c>
      <c r="G45" s="88">
        <v>-7181</v>
      </c>
      <c r="H45" s="86" t="s">
        <v>61</v>
      </c>
      <c r="I45" s="85">
        <v>-9575</v>
      </c>
      <c r="J45" s="86" t="s">
        <v>40</v>
      </c>
      <c r="K45" s="88">
        <v>-9402</v>
      </c>
      <c r="L45" s="87" t="s">
        <v>60</v>
      </c>
      <c r="M45" s="85">
        <v>-10151</v>
      </c>
      <c r="N45" s="87" t="s">
        <v>43</v>
      </c>
      <c r="O45" s="88">
        <v>-10510</v>
      </c>
      <c r="P45" s="86" t="s">
        <v>74</v>
      </c>
      <c r="Q45" s="85">
        <v>-11605</v>
      </c>
      <c r="R45" s="87" t="s">
        <v>50</v>
      </c>
      <c r="S45" s="88">
        <v>-10912</v>
      </c>
      <c r="T45" s="86"/>
      <c r="U45" s="85"/>
      <c r="V45" s="82">
        <v>6</v>
      </c>
    </row>
    <row r="46" spans="1:22" ht="14.25" customHeight="1" x14ac:dyDescent="0.3">
      <c r="A46" s="76">
        <v>7</v>
      </c>
      <c r="B46" s="77" t="s">
        <v>71</v>
      </c>
      <c r="C46" s="78">
        <v>-8585</v>
      </c>
      <c r="D46" s="79" t="s">
        <v>60</v>
      </c>
      <c r="E46" s="78">
        <v>-6680</v>
      </c>
      <c r="F46" s="80" t="s">
        <v>49</v>
      </c>
      <c r="G46" s="81">
        <v>-6939</v>
      </c>
      <c r="H46" s="79" t="s">
        <v>49</v>
      </c>
      <c r="I46" s="78">
        <v>-9163</v>
      </c>
      <c r="J46" s="79" t="s">
        <v>41</v>
      </c>
      <c r="K46" s="81">
        <v>-9352</v>
      </c>
      <c r="L46" s="80" t="s">
        <v>73</v>
      </c>
      <c r="M46" s="78">
        <v>-9019</v>
      </c>
      <c r="N46" s="80" t="s">
        <v>49</v>
      </c>
      <c r="O46" s="81">
        <v>-9204</v>
      </c>
      <c r="P46" s="79" t="s">
        <v>50</v>
      </c>
      <c r="Q46" s="78">
        <v>-10881</v>
      </c>
      <c r="R46" s="80" t="s">
        <v>53</v>
      </c>
      <c r="S46" s="81">
        <v>-10838</v>
      </c>
      <c r="T46" s="79"/>
      <c r="U46" s="78"/>
      <c r="V46" s="82">
        <v>7</v>
      </c>
    </row>
    <row r="47" spans="1:22" ht="14.25" customHeight="1" x14ac:dyDescent="0.3">
      <c r="A47" s="76">
        <v>8</v>
      </c>
      <c r="B47" s="77" t="s">
        <v>59</v>
      </c>
      <c r="C47" s="78">
        <v>-7959</v>
      </c>
      <c r="D47" s="79" t="s">
        <v>73</v>
      </c>
      <c r="E47" s="78">
        <v>-6434</v>
      </c>
      <c r="F47" s="80" t="s">
        <v>64</v>
      </c>
      <c r="G47" s="81">
        <v>-6864</v>
      </c>
      <c r="H47" s="79" t="s">
        <v>73</v>
      </c>
      <c r="I47" s="78">
        <v>-8270</v>
      </c>
      <c r="J47" s="79" t="s">
        <v>43</v>
      </c>
      <c r="K47" s="81">
        <v>-9070</v>
      </c>
      <c r="L47" s="80" t="s">
        <v>50</v>
      </c>
      <c r="M47" s="78">
        <v>-8927</v>
      </c>
      <c r="N47" s="80" t="s">
        <v>164</v>
      </c>
      <c r="O47" s="81">
        <v>-8595</v>
      </c>
      <c r="P47" s="79" t="s">
        <v>49</v>
      </c>
      <c r="Q47" s="78">
        <v>-9599</v>
      </c>
      <c r="R47" s="80" t="s">
        <v>61</v>
      </c>
      <c r="S47" s="81">
        <v>-10549</v>
      </c>
      <c r="T47" s="79"/>
      <c r="U47" s="78"/>
      <c r="V47" s="82">
        <v>8</v>
      </c>
    </row>
    <row r="48" spans="1:22" ht="14.25" customHeight="1" x14ac:dyDescent="0.3">
      <c r="A48" s="76">
        <v>9</v>
      </c>
      <c r="B48" s="77" t="s">
        <v>58</v>
      </c>
      <c r="C48" s="78">
        <v>-7929</v>
      </c>
      <c r="D48" s="79" t="s">
        <v>43</v>
      </c>
      <c r="E48" s="78">
        <v>-6349</v>
      </c>
      <c r="F48" s="80" t="s">
        <v>164</v>
      </c>
      <c r="G48" s="81">
        <v>-5807</v>
      </c>
      <c r="H48" s="79" t="s">
        <v>41</v>
      </c>
      <c r="I48" s="78">
        <v>-7767</v>
      </c>
      <c r="J48" s="79" t="s">
        <v>164</v>
      </c>
      <c r="K48" s="81">
        <v>-6953</v>
      </c>
      <c r="L48" s="80" t="s">
        <v>55</v>
      </c>
      <c r="M48" s="78">
        <v>-8403</v>
      </c>
      <c r="N48" s="80" t="s">
        <v>73</v>
      </c>
      <c r="O48" s="81">
        <v>-7932</v>
      </c>
      <c r="P48" s="79" t="s">
        <v>75</v>
      </c>
      <c r="Q48" s="78">
        <v>-8831</v>
      </c>
      <c r="R48" s="80" t="s">
        <v>74</v>
      </c>
      <c r="S48" s="81">
        <v>-9408</v>
      </c>
      <c r="T48" s="79"/>
      <c r="U48" s="78"/>
      <c r="V48" s="82">
        <v>9</v>
      </c>
    </row>
    <row r="49" spans="1:22" ht="14.25" customHeight="1" thickBot="1" x14ac:dyDescent="0.35">
      <c r="A49" s="89">
        <v>10</v>
      </c>
      <c r="B49" s="90" t="s">
        <v>211</v>
      </c>
      <c r="C49" s="91">
        <v>-7830</v>
      </c>
      <c r="D49" s="92" t="s">
        <v>56</v>
      </c>
      <c r="E49" s="91">
        <v>-5952</v>
      </c>
      <c r="F49" s="93" t="s">
        <v>73</v>
      </c>
      <c r="G49" s="94">
        <v>-5500</v>
      </c>
      <c r="H49" s="92" t="s">
        <v>69</v>
      </c>
      <c r="I49" s="91">
        <v>-7411</v>
      </c>
      <c r="J49" s="92" t="s">
        <v>75</v>
      </c>
      <c r="K49" s="94">
        <v>-6777</v>
      </c>
      <c r="L49" s="93" t="s">
        <v>52</v>
      </c>
      <c r="M49" s="91">
        <v>-8061</v>
      </c>
      <c r="N49" s="93" t="s">
        <v>75</v>
      </c>
      <c r="O49" s="94">
        <v>-7894</v>
      </c>
      <c r="P49" s="92" t="s">
        <v>59</v>
      </c>
      <c r="Q49" s="91">
        <v>-8617</v>
      </c>
      <c r="R49" s="93" t="s">
        <v>44</v>
      </c>
      <c r="S49" s="94">
        <v>-8180</v>
      </c>
      <c r="T49" s="92"/>
      <c r="U49" s="91"/>
      <c r="V49" s="95">
        <v>10</v>
      </c>
    </row>
    <row r="50" spans="1:22" ht="12" customHeight="1" x14ac:dyDescent="0.3">
      <c r="A50" s="76"/>
      <c r="N50" s="102"/>
      <c r="V50" s="105"/>
    </row>
  </sheetData>
  <mergeCells count="40">
    <mergeCell ref="N4:O4"/>
    <mergeCell ref="P4:Q4"/>
    <mergeCell ref="R4:S4"/>
    <mergeCell ref="T4:U4"/>
    <mergeCell ref="B15:C15"/>
    <mergeCell ref="D15:E15"/>
    <mergeCell ref="T15:U15"/>
    <mergeCell ref="R15:S15"/>
    <mergeCell ref="B4:C4"/>
    <mergeCell ref="D4:E4"/>
    <mergeCell ref="F4:G4"/>
    <mergeCell ref="H4:I4"/>
    <mergeCell ref="J4:K4"/>
    <mergeCell ref="L4:M4"/>
    <mergeCell ref="T28:U28"/>
    <mergeCell ref="B39:C39"/>
    <mergeCell ref="D39:E39"/>
    <mergeCell ref="T39:U39"/>
    <mergeCell ref="P39:Q39"/>
    <mergeCell ref="N39:O39"/>
    <mergeCell ref="L39:M39"/>
    <mergeCell ref="B28:C28"/>
    <mergeCell ref="D28:E28"/>
    <mergeCell ref="F28:G28"/>
    <mergeCell ref="H28:I28"/>
    <mergeCell ref="J28:K28"/>
    <mergeCell ref="L28:M28"/>
    <mergeCell ref="J39:K39"/>
    <mergeCell ref="H39:I39"/>
    <mergeCell ref="F39:G39"/>
    <mergeCell ref="R39:S39"/>
    <mergeCell ref="F15:G15"/>
    <mergeCell ref="H15:I15"/>
    <mergeCell ref="J15:K15"/>
    <mergeCell ref="L15:M15"/>
    <mergeCell ref="N15:O15"/>
    <mergeCell ref="P15:Q15"/>
    <mergeCell ref="N28:O28"/>
    <mergeCell ref="P28:Q28"/>
    <mergeCell ref="R28:S28"/>
  </mergeCells>
  <phoneticPr fontId="1" type="noConversion"/>
  <pageMargins left="0.7" right="0.7" top="0.75" bottom="0.75" header="0.3" footer="0.3"/>
  <pageSetup paperSize="9" fitToHeight="0" orientation="portrait" horizontalDpi="4294967293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49"/>
  <sheetViews>
    <sheetView zoomScale="115" zoomScaleNormal="115" workbookViewId="0">
      <selection activeCell="P28" sqref="P28:Q28"/>
    </sheetView>
  </sheetViews>
  <sheetFormatPr defaultRowHeight="16.5" x14ac:dyDescent="0.3"/>
  <cols>
    <col min="1" max="1" width="3" bestFit="1" customWidth="1"/>
    <col min="2" max="2" width="9.125" customWidth="1"/>
    <col min="3" max="3" width="5.625" customWidth="1"/>
    <col min="4" max="4" width="9.125" customWidth="1"/>
    <col min="5" max="5" width="5.625" customWidth="1"/>
    <col min="6" max="6" width="9.125" customWidth="1"/>
    <col min="7" max="7" width="5.625" customWidth="1"/>
    <col min="8" max="8" width="9.125" customWidth="1"/>
    <col min="9" max="9" width="5.625" customWidth="1"/>
    <col min="10" max="10" width="9.125" customWidth="1"/>
    <col min="11" max="11" width="5.625" customWidth="1"/>
    <col min="12" max="12" width="9.125" customWidth="1"/>
    <col min="13" max="13" width="5.625" customWidth="1"/>
    <col min="14" max="14" width="9.125" customWidth="1"/>
    <col min="15" max="15" width="5.625" customWidth="1"/>
    <col min="16" max="16" width="9.125" customWidth="1"/>
    <col min="17" max="17" width="5.625" customWidth="1"/>
    <col min="18" max="18" width="9.125" customWidth="1"/>
    <col min="19" max="19" width="5.625" customWidth="1"/>
    <col min="20" max="20" width="9.125" customWidth="1"/>
    <col min="21" max="21" width="5.625" customWidth="1"/>
    <col min="22" max="22" width="3" customWidth="1"/>
  </cols>
  <sheetData>
    <row r="1" spans="1:22" s="3" customFormat="1" ht="25.5" customHeight="1" x14ac:dyDescent="0.3">
      <c r="A1" s="38" t="s">
        <v>220</v>
      </c>
      <c r="C1" s="37"/>
      <c r="D1" s="63"/>
      <c r="E1" s="37"/>
      <c r="F1" s="63"/>
      <c r="G1" s="37"/>
      <c r="H1" s="63"/>
      <c r="I1" s="37"/>
      <c r="J1" s="63"/>
      <c r="K1" s="63"/>
      <c r="L1" s="63"/>
      <c r="M1" s="63"/>
      <c r="O1" s="28"/>
      <c r="Q1" s="28"/>
      <c r="S1" s="28"/>
      <c r="U1" s="28"/>
      <c r="V1" s="63"/>
    </row>
    <row r="2" spans="1:22" s="4" customFormat="1" ht="8.25" customHeight="1" x14ac:dyDescent="0.3">
      <c r="A2" s="14"/>
      <c r="B2" s="5"/>
      <c r="C2" s="29"/>
      <c r="E2" s="29"/>
      <c r="G2" s="29"/>
      <c r="I2" s="29"/>
      <c r="J2" s="7"/>
      <c r="K2" s="29"/>
      <c r="M2" s="29"/>
      <c r="O2" s="29"/>
      <c r="Q2" s="29"/>
      <c r="S2" s="29"/>
      <c r="U2" s="29"/>
    </row>
    <row r="3" spans="1:22" s="65" customFormat="1" ht="16.5" customHeight="1" thickBot="1" x14ac:dyDescent="0.35">
      <c r="A3" s="39" t="s">
        <v>165</v>
      </c>
      <c r="C3" s="66"/>
      <c r="E3" s="66"/>
      <c r="G3" s="66"/>
      <c r="I3" s="66"/>
      <c r="K3" s="66"/>
      <c r="M3" s="66"/>
      <c r="O3" s="66"/>
      <c r="Q3" s="66"/>
      <c r="S3" s="66"/>
      <c r="U3" s="30" t="s">
        <v>156</v>
      </c>
      <c r="V3" s="18"/>
    </row>
    <row r="4" spans="1:22" s="103" customFormat="1" ht="14.25" customHeight="1" x14ac:dyDescent="0.3">
      <c r="A4" s="67" t="s">
        <v>158</v>
      </c>
      <c r="B4" s="313">
        <v>2001</v>
      </c>
      <c r="C4" s="311"/>
      <c r="D4" s="310">
        <v>2002</v>
      </c>
      <c r="E4" s="311"/>
      <c r="F4" s="310">
        <v>2003</v>
      </c>
      <c r="G4" s="311"/>
      <c r="H4" s="310">
        <v>2004</v>
      </c>
      <c r="I4" s="311"/>
      <c r="J4" s="310">
        <v>2005</v>
      </c>
      <c r="K4" s="312"/>
      <c r="L4" s="312">
        <v>2006</v>
      </c>
      <c r="M4" s="311"/>
      <c r="N4" s="312">
        <v>2007</v>
      </c>
      <c r="O4" s="311"/>
      <c r="P4" s="310">
        <v>2008</v>
      </c>
      <c r="Q4" s="311"/>
      <c r="R4" s="310">
        <v>2009</v>
      </c>
      <c r="S4" s="311"/>
      <c r="T4" s="310">
        <v>2010</v>
      </c>
      <c r="U4" s="311"/>
      <c r="V4" s="68" t="s">
        <v>158</v>
      </c>
    </row>
    <row r="5" spans="1:22" s="65" customFormat="1" ht="14.25" customHeight="1" x14ac:dyDescent="0.3">
      <c r="A5" s="69">
        <v>1</v>
      </c>
      <c r="B5" s="70" t="s">
        <v>128</v>
      </c>
      <c r="C5" s="71">
        <v>3946</v>
      </c>
      <c r="D5" s="72" t="s">
        <v>129</v>
      </c>
      <c r="E5" s="71">
        <v>9230</v>
      </c>
      <c r="F5" s="73" t="s">
        <v>129</v>
      </c>
      <c r="G5" s="74">
        <v>6781</v>
      </c>
      <c r="H5" s="72" t="s">
        <v>93</v>
      </c>
      <c r="I5" s="71">
        <v>10812</v>
      </c>
      <c r="J5" s="72" t="s">
        <v>129</v>
      </c>
      <c r="K5" s="74">
        <v>6630</v>
      </c>
      <c r="L5" s="73" t="s">
        <v>129</v>
      </c>
      <c r="M5" s="71">
        <v>4940</v>
      </c>
      <c r="N5" s="73" t="s">
        <v>129</v>
      </c>
      <c r="O5" s="74">
        <v>3494</v>
      </c>
      <c r="P5" s="72" t="s">
        <v>129</v>
      </c>
      <c r="Q5" s="71">
        <v>2640</v>
      </c>
      <c r="R5" s="73" t="s">
        <v>131</v>
      </c>
      <c r="S5" s="74">
        <v>4170</v>
      </c>
      <c r="T5" s="72" t="s">
        <v>130</v>
      </c>
      <c r="U5" s="71">
        <v>3260</v>
      </c>
      <c r="V5" s="75">
        <v>1</v>
      </c>
    </row>
    <row r="6" spans="1:22" s="65" customFormat="1" ht="14.25" customHeight="1" x14ac:dyDescent="0.3">
      <c r="A6" s="76">
        <v>2</v>
      </c>
      <c r="B6" s="77" t="s">
        <v>129</v>
      </c>
      <c r="C6" s="78">
        <v>3420</v>
      </c>
      <c r="D6" s="79" t="s">
        <v>93</v>
      </c>
      <c r="E6" s="78">
        <v>6761</v>
      </c>
      <c r="F6" s="80" t="s">
        <v>128</v>
      </c>
      <c r="G6" s="81">
        <v>5080</v>
      </c>
      <c r="H6" s="79" t="s">
        <v>129</v>
      </c>
      <c r="I6" s="78">
        <v>7694</v>
      </c>
      <c r="J6" s="79" t="s">
        <v>128</v>
      </c>
      <c r="K6" s="81">
        <v>4150</v>
      </c>
      <c r="L6" s="80" t="s">
        <v>132</v>
      </c>
      <c r="M6" s="78">
        <v>3289</v>
      </c>
      <c r="N6" s="80" t="s">
        <v>133</v>
      </c>
      <c r="O6" s="81">
        <v>3229</v>
      </c>
      <c r="P6" s="79" t="s">
        <v>133</v>
      </c>
      <c r="Q6" s="78">
        <v>2616</v>
      </c>
      <c r="R6" s="80" t="s">
        <v>136</v>
      </c>
      <c r="S6" s="81">
        <v>2572</v>
      </c>
      <c r="T6" s="79" t="s">
        <v>133</v>
      </c>
      <c r="U6" s="78">
        <v>2137</v>
      </c>
      <c r="V6" s="82">
        <v>2</v>
      </c>
    </row>
    <row r="7" spans="1:22" s="65" customFormat="1" ht="14.25" customHeight="1" x14ac:dyDescent="0.3">
      <c r="A7" s="76">
        <v>3</v>
      </c>
      <c r="B7" s="77" t="s">
        <v>132</v>
      </c>
      <c r="C7" s="78">
        <v>3321</v>
      </c>
      <c r="D7" s="79" t="s">
        <v>135</v>
      </c>
      <c r="E7" s="78">
        <v>5258</v>
      </c>
      <c r="F7" s="80" t="s">
        <v>135</v>
      </c>
      <c r="G7" s="81">
        <v>3810</v>
      </c>
      <c r="H7" s="79" t="s">
        <v>128</v>
      </c>
      <c r="I7" s="78">
        <v>4758</v>
      </c>
      <c r="J7" s="79" t="s">
        <v>132</v>
      </c>
      <c r="K7" s="81">
        <v>3204</v>
      </c>
      <c r="L7" s="80" t="s">
        <v>128</v>
      </c>
      <c r="M7" s="78">
        <v>3189</v>
      </c>
      <c r="N7" s="80" t="s">
        <v>128</v>
      </c>
      <c r="O7" s="81">
        <v>3147</v>
      </c>
      <c r="P7" s="79" t="s">
        <v>136</v>
      </c>
      <c r="Q7" s="78">
        <v>2233</v>
      </c>
      <c r="R7" s="80" t="s">
        <v>133</v>
      </c>
      <c r="S7" s="81">
        <v>2561</v>
      </c>
      <c r="T7" s="79" t="s">
        <v>131</v>
      </c>
      <c r="U7" s="78">
        <v>2039</v>
      </c>
      <c r="V7" s="82">
        <v>3</v>
      </c>
    </row>
    <row r="8" spans="1:22" s="65" customFormat="1" ht="14.25" customHeight="1" x14ac:dyDescent="0.3">
      <c r="A8" s="76">
        <v>4</v>
      </c>
      <c r="B8" s="77" t="s">
        <v>134</v>
      </c>
      <c r="C8" s="78">
        <v>3266</v>
      </c>
      <c r="D8" s="79" t="s">
        <v>128</v>
      </c>
      <c r="E8" s="78">
        <v>5018</v>
      </c>
      <c r="F8" s="80" t="s">
        <v>132</v>
      </c>
      <c r="G8" s="81">
        <v>3742</v>
      </c>
      <c r="H8" s="79" t="s">
        <v>137</v>
      </c>
      <c r="I8" s="78">
        <v>3442</v>
      </c>
      <c r="J8" s="79" t="s">
        <v>135</v>
      </c>
      <c r="K8" s="81">
        <v>3173</v>
      </c>
      <c r="L8" s="80" t="s">
        <v>134</v>
      </c>
      <c r="M8" s="78">
        <v>3077</v>
      </c>
      <c r="N8" s="80" t="s">
        <v>132</v>
      </c>
      <c r="O8" s="81">
        <v>2701</v>
      </c>
      <c r="P8" s="79" t="s">
        <v>128</v>
      </c>
      <c r="Q8" s="78">
        <v>2131</v>
      </c>
      <c r="R8" s="80" t="s">
        <v>141</v>
      </c>
      <c r="S8" s="81">
        <v>2276</v>
      </c>
      <c r="T8" s="79" t="s">
        <v>132</v>
      </c>
      <c r="U8" s="78">
        <v>1859</v>
      </c>
      <c r="V8" s="82">
        <v>4</v>
      </c>
    </row>
    <row r="9" spans="1:22" s="65" customFormat="1" ht="14.25" customHeight="1" x14ac:dyDescent="0.3">
      <c r="A9" s="76">
        <v>5</v>
      </c>
      <c r="B9" s="77" t="s">
        <v>136</v>
      </c>
      <c r="C9" s="78">
        <v>3209</v>
      </c>
      <c r="D9" s="79" t="s">
        <v>137</v>
      </c>
      <c r="E9" s="78">
        <v>4928</v>
      </c>
      <c r="F9" s="80" t="s">
        <v>139</v>
      </c>
      <c r="G9" s="81">
        <v>3622</v>
      </c>
      <c r="H9" s="79" t="s">
        <v>135</v>
      </c>
      <c r="I9" s="78">
        <v>3412</v>
      </c>
      <c r="J9" s="79" t="s">
        <v>140</v>
      </c>
      <c r="K9" s="81">
        <v>3030</v>
      </c>
      <c r="L9" s="80" t="s">
        <v>133</v>
      </c>
      <c r="M9" s="78">
        <v>2973</v>
      </c>
      <c r="N9" s="80" t="s">
        <v>134</v>
      </c>
      <c r="O9" s="81">
        <v>2371</v>
      </c>
      <c r="P9" s="79" t="s">
        <v>135</v>
      </c>
      <c r="Q9" s="78">
        <v>1908</v>
      </c>
      <c r="R9" s="80" t="s">
        <v>129</v>
      </c>
      <c r="S9" s="81">
        <v>2001</v>
      </c>
      <c r="T9" s="79" t="s">
        <v>134</v>
      </c>
      <c r="U9" s="78">
        <v>1850</v>
      </c>
      <c r="V9" s="82">
        <v>5</v>
      </c>
    </row>
    <row r="10" spans="1:22" s="65" customFormat="1" ht="14.25" customHeight="1" x14ac:dyDescent="0.3">
      <c r="A10" s="83">
        <v>6</v>
      </c>
      <c r="B10" s="84" t="s">
        <v>139</v>
      </c>
      <c r="C10" s="85">
        <v>2903</v>
      </c>
      <c r="D10" s="86" t="s">
        <v>136</v>
      </c>
      <c r="E10" s="85">
        <v>3774</v>
      </c>
      <c r="F10" s="87" t="s">
        <v>142</v>
      </c>
      <c r="G10" s="88">
        <v>3248</v>
      </c>
      <c r="H10" s="86" t="s">
        <v>139</v>
      </c>
      <c r="I10" s="85">
        <v>3229</v>
      </c>
      <c r="J10" s="86" t="s">
        <v>134</v>
      </c>
      <c r="K10" s="88">
        <v>2903</v>
      </c>
      <c r="L10" s="87" t="s">
        <v>135</v>
      </c>
      <c r="M10" s="85">
        <v>2725</v>
      </c>
      <c r="N10" s="87" t="s">
        <v>136</v>
      </c>
      <c r="O10" s="88">
        <v>2356</v>
      </c>
      <c r="P10" s="86" t="s">
        <v>132</v>
      </c>
      <c r="Q10" s="85">
        <v>1826</v>
      </c>
      <c r="R10" s="87" t="s">
        <v>134</v>
      </c>
      <c r="S10" s="88">
        <v>1848</v>
      </c>
      <c r="T10" s="86" t="s">
        <v>136</v>
      </c>
      <c r="U10" s="85">
        <v>1719</v>
      </c>
      <c r="V10" s="82">
        <v>6</v>
      </c>
    </row>
    <row r="11" spans="1:22" s="65" customFormat="1" ht="14.25" customHeight="1" x14ac:dyDescent="0.3">
      <c r="A11" s="76">
        <v>7</v>
      </c>
      <c r="B11" s="77" t="s">
        <v>143</v>
      </c>
      <c r="C11" s="78">
        <v>2381</v>
      </c>
      <c r="D11" s="79" t="s">
        <v>132</v>
      </c>
      <c r="E11" s="78">
        <v>3597</v>
      </c>
      <c r="F11" s="80" t="s">
        <v>134</v>
      </c>
      <c r="G11" s="81">
        <v>2939</v>
      </c>
      <c r="H11" s="79" t="s">
        <v>132</v>
      </c>
      <c r="I11" s="78">
        <v>3103</v>
      </c>
      <c r="J11" s="79" t="s">
        <v>142</v>
      </c>
      <c r="K11" s="81">
        <v>2856</v>
      </c>
      <c r="L11" s="80" t="s">
        <v>139</v>
      </c>
      <c r="M11" s="78">
        <v>2444</v>
      </c>
      <c r="N11" s="80" t="s">
        <v>130</v>
      </c>
      <c r="O11" s="81">
        <v>2264</v>
      </c>
      <c r="P11" s="79" t="s">
        <v>131</v>
      </c>
      <c r="Q11" s="78">
        <v>1797</v>
      </c>
      <c r="R11" s="80" t="s">
        <v>128</v>
      </c>
      <c r="S11" s="81">
        <v>1748</v>
      </c>
      <c r="T11" s="79" t="s">
        <v>128</v>
      </c>
      <c r="U11" s="78">
        <v>1685</v>
      </c>
      <c r="V11" s="82">
        <v>7</v>
      </c>
    </row>
    <row r="12" spans="1:22" s="65" customFormat="1" ht="14.25" customHeight="1" x14ac:dyDescent="0.3">
      <c r="A12" s="76">
        <v>8</v>
      </c>
      <c r="B12" s="77" t="s">
        <v>144</v>
      </c>
      <c r="C12" s="78">
        <v>2358</v>
      </c>
      <c r="D12" s="79" t="s">
        <v>139</v>
      </c>
      <c r="E12" s="78">
        <v>3506</v>
      </c>
      <c r="F12" s="80" t="s">
        <v>143</v>
      </c>
      <c r="G12" s="81">
        <v>2939</v>
      </c>
      <c r="H12" s="79" t="s">
        <v>136</v>
      </c>
      <c r="I12" s="78">
        <v>2948</v>
      </c>
      <c r="J12" s="79" t="s">
        <v>136</v>
      </c>
      <c r="K12" s="81">
        <v>2592</v>
      </c>
      <c r="L12" s="80" t="s">
        <v>145</v>
      </c>
      <c r="M12" s="78">
        <v>2442</v>
      </c>
      <c r="N12" s="80" t="s">
        <v>146</v>
      </c>
      <c r="O12" s="81">
        <v>2202</v>
      </c>
      <c r="P12" s="79" t="s">
        <v>130</v>
      </c>
      <c r="Q12" s="78">
        <v>1696</v>
      </c>
      <c r="R12" s="80" t="s">
        <v>130</v>
      </c>
      <c r="S12" s="81">
        <v>1607</v>
      </c>
      <c r="T12" s="79" t="s">
        <v>129</v>
      </c>
      <c r="U12" s="78">
        <v>1667</v>
      </c>
      <c r="V12" s="82">
        <v>8</v>
      </c>
    </row>
    <row r="13" spans="1:22" s="65" customFormat="1" ht="14.25" customHeight="1" x14ac:dyDescent="0.3">
      <c r="A13" s="76">
        <v>9</v>
      </c>
      <c r="B13" s="77" t="s">
        <v>148</v>
      </c>
      <c r="C13" s="78">
        <v>2335</v>
      </c>
      <c r="D13" s="79" t="s">
        <v>99</v>
      </c>
      <c r="E13" s="78">
        <v>3259</v>
      </c>
      <c r="F13" s="80" t="s">
        <v>149</v>
      </c>
      <c r="G13" s="81">
        <v>2914</v>
      </c>
      <c r="H13" s="79" t="s">
        <v>119</v>
      </c>
      <c r="I13" s="78">
        <v>2921</v>
      </c>
      <c r="J13" s="79" t="s">
        <v>133</v>
      </c>
      <c r="K13" s="81">
        <v>2565</v>
      </c>
      <c r="L13" s="80" t="s">
        <v>136</v>
      </c>
      <c r="M13" s="78">
        <v>2411</v>
      </c>
      <c r="N13" s="80" t="s">
        <v>142</v>
      </c>
      <c r="O13" s="81">
        <v>2153</v>
      </c>
      <c r="P13" s="79" t="s">
        <v>134</v>
      </c>
      <c r="Q13" s="78">
        <v>1693</v>
      </c>
      <c r="R13" s="80" t="s">
        <v>132</v>
      </c>
      <c r="S13" s="81">
        <v>1540</v>
      </c>
      <c r="T13" s="79" t="s">
        <v>146</v>
      </c>
      <c r="U13" s="78">
        <v>1535</v>
      </c>
      <c r="V13" s="82">
        <v>9</v>
      </c>
    </row>
    <row r="14" spans="1:22" s="65" customFormat="1" ht="14.25" customHeight="1" thickBot="1" x14ac:dyDescent="0.35">
      <c r="A14" s="89">
        <v>10</v>
      </c>
      <c r="B14" s="90" t="s">
        <v>146</v>
      </c>
      <c r="C14" s="91">
        <v>2273</v>
      </c>
      <c r="D14" s="92" t="s">
        <v>134</v>
      </c>
      <c r="E14" s="91">
        <v>2994</v>
      </c>
      <c r="F14" s="93" t="s">
        <v>136</v>
      </c>
      <c r="G14" s="94">
        <v>2909</v>
      </c>
      <c r="H14" s="92" t="s">
        <v>142</v>
      </c>
      <c r="I14" s="91">
        <v>2836</v>
      </c>
      <c r="J14" s="92" t="s">
        <v>137</v>
      </c>
      <c r="K14" s="94">
        <v>2445</v>
      </c>
      <c r="L14" s="93" t="s">
        <v>142</v>
      </c>
      <c r="M14" s="91">
        <v>2291</v>
      </c>
      <c r="N14" s="93" t="s">
        <v>141</v>
      </c>
      <c r="O14" s="94">
        <v>2084</v>
      </c>
      <c r="P14" s="92" t="s">
        <v>142</v>
      </c>
      <c r="Q14" s="91">
        <v>1677</v>
      </c>
      <c r="R14" s="93" t="s">
        <v>100</v>
      </c>
      <c r="S14" s="94">
        <v>1437</v>
      </c>
      <c r="T14" s="92" t="s">
        <v>141</v>
      </c>
      <c r="U14" s="91">
        <v>1510</v>
      </c>
      <c r="V14" s="95">
        <v>10</v>
      </c>
    </row>
    <row r="15" spans="1:22" s="103" customFormat="1" ht="14.25" customHeight="1" x14ac:dyDescent="0.3">
      <c r="A15" s="67" t="s">
        <v>158</v>
      </c>
      <c r="B15" s="313">
        <v>2011</v>
      </c>
      <c r="C15" s="311"/>
      <c r="D15" s="312">
        <v>2012</v>
      </c>
      <c r="E15" s="311"/>
      <c r="F15" s="310">
        <v>2013</v>
      </c>
      <c r="G15" s="311"/>
      <c r="H15" s="310">
        <v>2014</v>
      </c>
      <c r="I15" s="311"/>
      <c r="J15" s="310">
        <v>2015</v>
      </c>
      <c r="K15" s="312"/>
      <c r="L15" s="312">
        <v>2016</v>
      </c>
      <c r="M15" s="311"/>
      <c r="N15" s="312">
        <v>2017</v>
      </c>
      <c r="O15" s="311"/>
      <c r="P15" s="312">
        <v>2018</v>
      </c>
      <c r="Q15" s="311"/>
      <c r="R15" s="310">
        <v>2019</v>
      </c>
      <c r="S15" s="311"/>
      <c r="T15" s="310"/>
      <c r="U15" s="311"/>
      <c r="V15" s="68" t="s">
        <v>158</v>
      </c>
    </row>
    <row r="16" spans="1:22" s="65" customFormat="1" ht="14.25" customHeight="1" x14ac:dyDescent="0.3">
      <c r="A16" s="69">
        <v>1</v>
      </c>
      <c r="B16" s="70" t="s">
        <v>130</v>
      </c>
      <c r="C16" s="71">
        <v>1993</v>
      </c>
      <c r="D16" s="72" t="s">
        <v>168</v>
      </c>
      <c r="E16" s="71">
        <v>2998</v>
      </c>
      <c r="F16" s="73" t="s">
        <v>130</v>
      </c>
      <c r="G16" s="74">
        <v>2863</v>
      </c>
      <c r="H16" s="72" t="s">
        <v>130</v>
      </c>
      <c r="I16" s="71">
        <v>2546</v>
      </c>
      <c r="J16" s="72" t="s">
        <v>168</v>
      </c>
      <c r="K16" s="74">
        <v>2437</v>
      </c>
      <c r="L16" s="73" t="s">
        <v>168</v>
      </c>
      <c r="M16" s="71">
        <v>2917</v>
      </c>
      <c r="N16" s="73" t="s">
        <v>168</v>
      </c>
      <c r="O16" s="74">
        <v>3681</v>
      </c>
      <c r="P16" s="72" t="s">
        <v>168</v>
      </c>
      <c r="Q16" s="71">
        <v>4238</v>
      </c>
      <c r="R16" s="73" t="s">
        <v>168</v>
      </c>
      <c r="S16" s="74">
        <v>4459</v>
      </c>
      <c r="T16" s="72"/>
      <c r="U16" s="71"/>
      <c r="V16" s="75">
        <v>1</v>
      </c>
    </row>
    <row r="17" spans="1:22" s="65" customFormat="1" ht="14.25" customHeight="1" x14ac:dyDescent="0.3">
      <c r="A17" s="76">
        <v>2</v>
      </c>
      <c r="B17" s="77" t="s">
        <v>134</v>
      </c>
      <c r="C17" s="78">
        <v>1511</v>
      </c>
      <c r="D17" s="79" t="s">
        <v>170</v>
      </c>
      <c r="E17" s="78">
        <v>1967</v>
      </c>
      <c r="F17" s="80" t="s">
        <v>131</v>
      </c>
      <c r="G17" s="81">
        <v>1837</v>
      </c>
      <c r="H17" s="79" t="s">
        <v>134</v>
      </c>
      <c r="I17" s="78">
        <v>1885</v>
      </c>
      <c r="J17" s="79" t="s">
        <v>175</v>
      </c>
      <c r="K17" s="81">
        <v>1862</v>
      </c>
      <c r="L17" s="80" t="s">
        <v>171</v>
      </c>
      <c r="M17" s="78">
        <v>1947</v>
      </c>
      <c r="N17" s="80" t="s">
        <v>171</v>
      </c>
      <c r="O17" s="81">
        <v>2346</v>
      </c>
      <c r="P17" s="79" t="s">
        <v>170</v>
      </c>
      <c r="Q17" s="78">
        <v>3220</v>
      </c>
      <c r="R17" s="80" t="s">
        <v>170</v>
      </c>
      <c r="S17" s="81">
        <v>3355</v>
      </c>
      <c r="T17" s="79"/>
      <c r="U17" s="78"/>
      <c r="V17" s="82">
        <v>2</v>
      </c>
    </row>
    <row r="18" spans="1:22" s="65" customFormat="1" ht="14.25" customHeight="1" x14ac:dyDescent="0.3">
      <c r="A18" s="76">
        <v>3</v>
      </c>
      <c r="B18" s="77" t="s">
        <v>136</v>
      </c>
      <c r="C18" s="78">
        <v>1488</v>
      </c>
      <c r="D18" s="79" t="s">
        <v>134</v>
      </c>
      <c r="E18" s="78">
        <v>1693</v>
      </c>
      <c r="F18" s="80" t="s">
        <v>136</v>
      </c>
      <c r="G18" s="81">
        <v>1827</v>
      </c>
      <c r="H18" s="79" t="s">
        <v>136</v>
      </c>
      <c r="I18" s="78">
        <v>1691</v>
      </c>
      <c r="J18" s="79" t="s">
        <v>171</v>
      </c>
      <c r="K18" s="81">
        <v>1773</v>
      </c>
      <c r="L18" s="80" t="s">
        <v>173</v>
      </c>
      <c r="M18" s="78">
        <v>1934</v>
      </c>
      <c r="N18" s="80" t="s">
        <v>170</v>
      </c>
      <c r="O18" s="81">
        <v>2291</v>
      </c>
      <c r="P18" s="79" t="s">
        <v>167</v>
      </c>
      <c r="Q18" s="78">
        <v>2735</v>
      </c>
      <c r="R18" s="80" t="s">
        <v>167</v>
      </c>
      <c r="S18" s="81">
        <v>3272</v>
      </c>
      <c r="T18" s="79"/>
      <c r="U18" s="78"/>
      <c r="V18" s="82">
        <v>3</v>
      </c>
    </row>
    <row r="19" spans="1:22" s="65" customFormat="1" ht="14.25" customHeight="1" x14ac:dyDescent="0.3">
      <c r="A19" s="76">
        <v>4</v>
      </c>
      <c r="B19" s="77" t="s">
        <v>138</v>
      </c>
      <c r="C19" s="78">
        <v>969</v>
      </c>
      <c r="D19" s="79" t="s">
        <v>136</v>
      </c>
      <c r="E19" s="78">
        <v>1610</v>
      </c>
      <c r="F19" s="80" t="s">
        <v>134</v>
      </c>
      <c r="G19" s="81">
        <v>1535</v>
      </c>
      <c r="H19" s="79" t="s">
        <v>131</v>
      </c>
      <c r="I19" s="78">
        <v>1606</v>
      </c>
      <c r="J19" s="79" t="s">
        <v>170</v>
      </c>
      <c r="K19" s="81">
        <v>1690</v>
      </c>
      <c r="L19" s="80" t="s">
        <v>175</v>
      </c>
      <c r="M19" s="78">
        <v>1850</v>
      </c>
      <c r="N19" s="80" t="s">
        <v>167</v>
      </c>
      <c r="O19" s="81">
        <v>2226</v>
      </c>
      <c r="P19" s="79" t="s">
        <v>175</v>
      </c>
      <c r="Q19" s="78">
        <v>2643</v>
      </c>
      <c r="R19" s="80" t="s">
        <v>171</v>
      </c>
      <c r="S19" s="81">
        <v>3145</v>
      </c>
      <c r="T19" s="79"/>
      <c r="U19" s="78"/>
      <c r="V19" s="82">
        <v>4</v>
      </c>
    </row>
    <row r="20" spans="1:22" s="65" customFormat="1" ht="14.25" customHeight="1" x14ac:dyDescent="0.3">
      <c r="A20" s="76">
        <v>5</v>
      </c>
      <c r="B20" s="77" t="s">
        <v>131</v>
      </c>
      <c r="C20" s="78">
        <v>929</v>
      </c>
      <c r="D20" s="79" t="s">
        <v>135</v>
      </c>
      <c r="E20" s="78">
        <v>1475</v>
      </c>
      <c r="F20" s="80" t="s">
        <v>132</v>
      </c>
      <c r="G20" s="81">
        <v>1154</v>
      </c>
      <c r="H20" s="79" t="s">
        <v>132</v>
      </c>
      <c r="I20" s="78">
        <v>1267</v>
      </c>
      <c r="J20" s="79" t="s">
        <v>172</v>
      </c>
      <c r="K20" s="81">
        <v>1365</v>
      </c>
      <c r="L20" s="80" t="s">
        <v>170</v>
      </c>
      <c r="M20" s="78">
        <v>1761</v>
      </c>
      <c r="N20" s="80" t="s">
        <v>175</v>
      </c>
      <c r="O20" s="81">
        <v>2206</v>
      </c>
      <c r="P20" s="79" t="s">
        <v>171</v>
      </c>
      <c r="Q20" s="78">
        <v>2449</v>
      </c>
      <c r="R20" s="80" t="s">
        <v>175</v>
      </c>
      <c r="S20" s="81">
        <v>2804</v>
      </c>
      <c r="T20" s="79"/>
      <c r="U20" s="78"/>
      <c r="V20" s="82">
        <v>5</v>
      </c>
    </row>
    <row r="21" spans="1:22" s="65" customFormat="1" ht="14.25" customHeight="1" x14ac:dyDescent="0.3">
      <c r="A21" s="83">
        <v>6</v>
      </c>
      <c r="B21" s="84" t="s">
        <v>132</v>
      </c>
      <c r="C21" s="85">
        <v>915</v>
      </c>
      <c r="D21" s="86" t="s">
        <v>129</v>
      </c>
      <c r="E21" s="85">
        <v>1360</v>
      </c>
      <c r="F21" s="87" t="s">
        <v>141</v>
      </c>
      <c r="G21" s="88">
        <v>1102</v>
      </c>
      <c r="H21" s="86" t="s">
        <v>141</v>
      </c>
      <c r="I21" s="85">
        <v>974</v>
      </c>
      <c r="J21" s="86" t="s">
        <v>173</v>
      </c>
      <c r="K21" s="88">
        <v>1164</v>
      </c>
      <c r="L21" s="87" t="s">
        <v>167</v>
      </c>
      <c r="M21" s="85">
        <v>1618</v>
      </c>
      <c r="N21" s="87" t="s">
        <v>173</v>
      </c>
      <c r="O21" s="88">
        <v>2102</v>
      </c>
      <c r="P21" s="86" t="s">
        <v>173</v>
      </c>
      <c r="Q21" s="85">
        <v>2384</v>
      </c>
      <c r="R21" s="87" t="s">
        <v>169</v>
      </c>
      <c r="S21" s="88">
        <v>2794</v>
      </c>
      <c r="T21" s="86"/>
      <c r="U21" s="85"/>
      <c r="V21" s="82">
        <v>6</v>
      </c>
    </row>
    <row r="22" spans="1:22" s="65" customFormat="1" ht="14.25" customHeight="1" x14ac:dyDescent="0.3">
      <c r="A22" s="76">
        <v>7</v>
      </c>
      <c r="B22" s="77" t="s">
        <v>141</v>
      </c>
      <c r="C22" s="78">
        <v>904</v>
      </c>
      <c r="D22" s="79" t="s">
        <v>141</v>
      </c>
      <c r="E22" s="78">
        <v>1092</v>
      </c>
      <c r="F22" s="80" t="s">
        <v>129</v>
      </c>
      <c r="G22" s="81">
        <v>920</v>
      </c>
      <c r="H22" s="79" t="s">
        <v>128</v>
      </c>
      <c r="I22" s="78">
        <v>956</v>
      </c>
      <c r="J22" s="79" t="s">
        <v>179</v>
      </c>
      <c r="K22" s="81">
        <v>901</v>
      </c>
      <c r="L22" s="80" t="s">
        <v>172</v>
      </c>
      <c r="M22" s="78">
        <v>1612</v>
      </c>
      <c r="N22" s="80" t="s">
        <v>194</v>
      </c>
      <c r="O22" s="81">
        <v>1921</v>
      </c>
      <c r="P22" s="79" t="s">
        <v>172</v>
      </c>
      <c r="Q22" s="78">
        <v>2231</v>
      </c>
      <c r="R22" s="80" t="s">
        <v>195</v>
      </c>
      <c r="S22" s="81">
        <v>2348</v>
      </c>
      <c r="T22" s="79"/>
      <c r="U22" s="78"/>
      <c r="V22" s="82">
        <v>7</v>
      </c>
    </row>
    <row r="23" spans="1:22" s="65" customFormat="1" ht="14.25" customHeight="1" x14ac:dyDescent="0.3">
      <c r="A23" s="76">
        <v>8</v>
      </c>
      <c r="B23" s="77" t="s">
        <v>147</v>
      </c>
      <c r="C23" s="78">
        <v>893</v>
      </c>
      <c r="D23" s="79" t="s">
        <v>176</v>
      </c>
      <c r="E23" s="78">
        <v>1084</v>
      </c>
      <c r="F23" s="80" t="s">
        <v>142</v>
      </c>
      <c r="G23" s="81">
        <v>867</v>
      </c>
      <c r="H23" s="79" t="s">
        <v>135</v>
      </c>
      <c r="I23" s="78">
        <v>778</v>
      </c>
      <c r="J23" s="79" t="s">
        <v>196</v>
      </c>
      <c r="K23" s="81">
        <v>821</v>
      </c>
      <c r="L23" s="80" t="s">
        <v>179</v>
      </c>
      <c r="M23" s="78">
        <v>1150</v>
      </c>
      <c r="N23" s="80" t="s">
        <v>195</v>
      </c>
      <c r="O23" s="81">
        <v>1650</v>
      </c>
      <c r="P23" s="79" t="s">
        <v>194</v>
      </c>
      <c r="Q23" s="78">
        <v>2022</v>
      </c>
      <c r="R23" s="80" t="s">
        <v>172</v>
      </c>
      <c r="S23" s="81">
        <v>2302</v>
      </c>
      <c r="T23" s="79"/>
      <c r="U23" s="78"/>
      <c r="V23" s="82">
        <v>8</v>
      </c>
    </row>
    <row r="24" spans="1:22" s="65" customFormat="1" ht="14.25" customHeight="1" x14ac:dyDescent="0.3">
      <c r="A24" s="76">
        <v>9</v>
      </c>
      <c r="B24" s="77" t="s">
        <v>148</v>
      </c>
      <c r="C24" s="78">
        <v>819</v>
      </c>
      <c r="D24" s="79" t="s">
        <v>177</v>
      </c>
      <c r="E24" s="78">
        <v>1052</v>
      </c>
      <c r="F24" s="80" t="s">
        <v>133</v>
      </c>
      <c r="G24" s="81">
        <v>818</v>
      </c>
      <c r="H24" s="79" t="s">
        <v>142</v>
      </c>
      <c r="I24" s="78">
        <v>758</v>
      </c>
      <c r="J24" s="79" t="s">
        <v>178</v>
      </c>
      <c r="K24" s="81">
        <v>807</v>
      </c>
      <c r="L24" s="80" t="s">
        <v>196</v>
      </c>
      <c r="M24" s="78">
        <v>1073</v>
      </c>
      <c r="N24" s="80" t="s">
        <v>172</v>
      </c>
      <c r="O24" s="81">
        <v>1574</v>
      </c>
      <c r="P24" s="79" t="s">
        <v>174</v>
      </c>
      <c r="Q24" s="78">
        <v>2004</v>
      </c>
      <c r="R24" s="80" t="s">
        <v>173</v>
      </c>
      <c r="S24" s="81">
        <v>2201</v>
      </c>
      <c r="T24" s="79"/>
      <c r="U24" s="78"/>
      <c r="V24" s="82">
        <v>9</v>
      </c>
    </row>
    <row r="25" spans="1:22" s="65" customFormat="1" ht="14.25" customHeight="1" thickBot="1" x14ac:dyDescent="0.35">
      <c r="A25" s="89">
        <v>10</v>
      </c>
      <c r="B25" s="90" t="s">
        <v>150</v>
      </c>
      <c r="C25" s="91">
        <v>738</v>
      </c>
      <c r="D25" s="92" t="s">
        <v>150</v>
      </c>
      <c r="E25" s="91">
        <v>1010</v>
      </c>
      <c r="F25" s="93" t="s">
        <v>128</v>
      </c>
      <c r="G25" s="94">
        <v>815</v>
      </c>
      <c r="H25" s="92" t="s">
        <v>133</v>
      </c>
      <c r="I25" s="91">
        <v>752</v>
      </c>
      <c r="J25" s="92" t="s">
        <v>195</v>
      </c>
      <c r="K25" s="94">
        <v>775</v>
      </c>
      <c r="L25" s="93" t="s">
        <v>197</v>
      </c>
      <c r="M25" s="91">
        <v>1051</v>
      </c>
      <c r="N25" s="93" t="s">
        <v>179</v>
      </c>
      <c r="O25" s="94">
        <v>1317</v>
      </c>
      <c r="P25" s="92" t="s">
        <v>198</v>
      </c>
      <c r="Q25" s="91">
        <v>1901</v>
      </c>
      <c r="R25" s="93" t="s">
        <v>184</v>
      </c>
      <c r="S25" s="94">
        <v>2026</v>
      </c>
      <c r="T25" s="92"/>
      <c r="U25" s="91"/>
      <c r="V25" s="95">
        <v>10</v>
      </c>
    </row>
    <row r="26" spans="1:22" s="65" customFormat="1" ht="9.75" customHeight="1" x14ac:dyDescent="0.3">
      <c r="A26" s="96"/>
      <c r="B26" s="96"/>
      <c r="C26" s="97"/>
      <c r="D26" s="96"/>
      <c r="E26" s="97"/>
      <c r="F26" s="96" t="s">
        <v>206</v>
      </c>
      <c r="G26" s="97"/>
      <c r="H26" s="96"/>
      <c r="I26" s="97"/>
      <c r="J26" s="96"/>
      <c r="K26" s="97"/>
      <c r="L26" s="96"/>
      <c r="M26" s="97"/>
      <c r="N26" s="96"/>
      <c r="O26" s="97"/>
      <c r="P26" s="96"/>
      <c r="Q26" s="97"/>
      <c r="R26" s="96"/>
      <c r="S26" s="97"/>
      <c r="T26" s="96"/>
      <c r="U26" s="97"/>
    </row>
    <row r="27" spans="1:22" s="65" customFormat="1" ht="15" customHeight="1" thickBot="1" x14ac:dyDescent="0.2">
      <c r="A27" s="39" t="s">
        <v>166</v>
      </c>
      <c r="B27" s="98"/>
      <c r="C27" s="97"/>
      <c r="D27" s="96"/>
      <c r="E27" s="97"/>
      <c r="F27" s="96"/>
      <c r="G27" s="97"/>
      <c r="H27" s="96"/>
      <c r="I27" s="97"/>
      <c r="J27" s="96"/>
      <c r="K27" s="97"/>
      <c r="L27" s="96"/>
      <c r="M27" s="97"/>
      <c r="N27" s="96"/>
      <c r="O27" s="97"/>
      <c r="P27" s="96"/>
      <c r="Q27" s="97"/>
      <c r="R27" s="96"/>
      <c r="S27" s="97"/>
      <c r="T27" s="96"/>
      <c r="U27" s="47" t="s">
        <v>156</v>
      </c>
      <c r="V27" s="18"/>
    </row>
    <row r="28" spans="1:22" s="103" customFormat="1" ht="14.25" customHeight="1" x14ac:dyDescent="0.3">
      <c r="A28" s="67" t="s">
        <v>158</v>
      </c>
      <c r="B28" s="314">
        <v>2001</v>
      </c>
      <c r="C28" s="315"/>
      <c r="D28" s="316">
        <v>2002</v>
      </c>
      <c r="E28" s="315"/>
      <c r="F28" s="316">
        <v>2003</v>
      </c>
      <c r="G28" s="315"/>
      <c r="H28" s="316">
        <v>2004</v>
      </c>
      <c r="I28" s="315"/>
      <c r="J28" s="316">
        <v>2005</v>
      </c>
      <c r="K28" s="317"/>
      <c r="L28" s="317">
        <v>2006</v>
      </c>
      <c r="M28" s="315"/>
      <c r="N28" s="317">
        <v>2007</v>
      </c>
      <c r="O28" s="315"/>
      <c r="P28" s="316">
        <v>2008</v>
      </c>
      <c r="Q28" s="315"/>
      <c r="R28" s="316">
        <v>2009</v>
      </c>
      <c r="S28" s="315"/>
      <c r="T28" s="316">
        <v>2010</v>
      </c>
      <c r="U28" s="315"/>
      <c r="V28" s="68" t="s">
        <v>158</v>
      </c>
    </row>
    <row r="29" spans="1:22" s="65" customFormat="1" ht="14.25" customHeight="1" x14ac:dyDescent="0.3">
      <c r="A29" s="69">
        <v>1</v>
      </c>
      <c r="B29" s="25" t="s">
        <v>91</v>
      </c>
      <c r="C29" s="34">
        <v>-1475</v>
      </c>
      <c r="D29" s="26" t="s">
        <v>92</v>
      </c>
      <c r="E29" s="34">
        <v>-699</v>
      </c>
      <c r="F29" s="27" t="s">
        <v>93</v>
      </c>
      <c r="G29" s="31">
        <v>-6977</v>
      </c>
      <c r="H29" s="26" t="s">
        <v>94</v>
      </c>
      <c r="I29" s="34">
        <v>-15640</v>
      </c>
      <c r="J29" s="26" t="s">
        <v>95</v>
      </c>
      <c r="K29" s="31">
        <v>-1627</v>
      </c>
      <c r="L29" s="27" t="s">
        <v>96</v>
      </c>
      <c r="M29" s="34">
        <v>-2814</v>
      </c>
      <c r="N29" s="27" t="s">
        <v>95</v>
      </c>
      <c r="O29" s="31">
        <v>-6316</v>
      </c>
      <c r="P29" s="26" t="s">
        <v>97</v>
      </c>
      <c r="Q29" s="34">
        <v>-4691</v>
      </c>
      <c r="R29" s="27" t="s">
        <v>97</v>
      </c>
      <c r="S29" s="31">
        <v>-3552</v>
      </c>
      <c r="T29" s="26" t="s">
        <v>94</v>
      </c>
      <c r="U29" s="34">
        <v>-3226</v>
      </c>
      <c r="V29" s="75">
        <v>1</v>
      </c>
    </row>
    <row r="30" spans="1:22" s="65" customFormat="1" ht="14.25" customHeight="1" x14ac:dyDescent="0.3">
      <c r="A30" s="76">
        <v>2</v>
      </c>
      <c r="B30" s="21" t="s">
        <v>94</v>
      </c>
      <c r="C30" s="35">
        <v>-1116</v>
      </c>
      <c r="D30" s="23" t="s">
        <v>98</v>
      </c>
      <c r="E30" s="35">
        <v>-310</v>
      </c>
      <c r="F30" s="19" t="s">
        <v>94</v>
      </c>
      <c r="G30" s="32">
        <v>-3151</v>
      </c>
      <c r="H30" s="23" t="s">
        <v>97</v>
      </c>
      <c r="I30" s="35">
        <v>-4067</v>
      </c>
      <c r="J30" s="23" t="s">
        <v>97</v>
      </c>
      <c r="K30" s="32">
        <v>-537</v>
      </c>
      <c r="L30" s="19" t="s">
        <v>94</v>
      </c>
      <c r="M30" s="35">
        <v>-2552</v>
      </c>
      <c r="N30" s="19" t="s">
        <v>97</v>
      </c>
      <c r="O30" s="32">
        <v>-2669</v>
      </c>
      <c r="P30" s="23" t="s">
        <v>94</v>
      </c>
      <c r="Q30" s="35">
        <v>-3018</v>
      </c>
      <c r="R30" s="19" t="s">
        <v>94</v>
      </c>
      <c r="S30" s="32">
        <v>-1040</v>
      </c>
      <c r="T30" s="23" t="s">
        <v>95</v>
      </c>
      <c r="U30" s="35">
        <v>-2328</v>
      </c>
      <c r="V30" s="82">
        <v>2</v>
      </c>
    </row>
    <row r="31" spans="1:22" s="65" customFormat="1" ht="14.25" customHeight="1" x14ac:dyDescent="0.3">
      <c r="A31" s="76">
        <v>3</v>
      </c>
      <c r="B31" s="21" t="s">
        <v>99</v>
      </c>
      <c r="C31" s="35">
        <v>-685</v>
      </c>
      <c r="D31" s="23" t="s">
        <v>100</v>
      </c>
      <c r="E31" s="35">
        <v>-305</v>
      </c>
      <c r="F31" s="19" t="s">
        <v>101</v>
      </c>
      <c r="G31" s="32">
        <v>-1519</v>
      </c>
      <c r="H31" s="23" t="s">
        <v>102</v>
      </c>
      <c r="I31" s="35">
        <v>-717</v>
      </c>
      <c r="J31" s="23" t="s">
        <v>94</v>
      </c>
      <c r="K31" s="32">
        <v>-332</v>
      </c>
      <c r="L31" s="19" t="s">
        <v>97</v>
      </c>
      <c r="M31" s="35">
        <v>-2436</v>
      </c>
      <c r="N31" s="19" t="s">
        <v>94</v>
      </c>
      <c r="O31" s="32">
        <v>-2345</v>
      </c>
      <c r="P31" s="23" t="s">
        <v>103</v>
      </c>
      <c r="Q31" s="35">
        <v>-1242</v>
      </c>
      <c r="R31" s="19" t="s">
        <v>104</v>
      </c>
      <c r="S31" s="32">
        <v>-910</v>
      </c>
      <c r="T31" s="23" t="s">
        <v>97</v>
      </c>
      <c r="U31" s="35">
        <v>-2036</v>
      </c>
      <c r="V31" s="82">
        <v>3</v>
      </c>
    </row>
    <row r="32" spans="1:22" s="65" customFormat="1" ht="14.25" customHeight="1" x14ac:dyDescent="0.3">
      <c r="A32" s="76">
        <v>4</v>
      </c>
      <c r="B32" s="21" t="s">
        <v>97</v>
      </c>
      <c r="C32" s="35">
        <v>-500</v>
      </c>
      <c r="D32" s="23" t="s">
        <v>102</v>
      </c>
      <c r="E32" s="35">
        <v>-42</v>
      </c>
      <c r="F32" s="19" t="s">
        <v>105</v>
      </c>
      <c r="G32" s="32">
        <v>-1376</v>
      </c>
      <c r="H32" s="23" t="s">
        <v>95</v>
      </c>
      <c r="I32" s="35">
        <v>-526</v>
      </c>
      <c r="J32" s="23" t="s">
        <v>106</v>
      </c>
      <c r="K32" s="32">
        <v>-304</v>
      </c>
      <c r="L32" s="19" t="s">
        <v>95</v>
      </c>
      <c r="M32" s="35">
        <v>-2267</v>
      </c>
      <c r="N32" s="19" t="s">
        <v>96</v>
      </c>
      <c r="O32" s="32">
        <v>-1386</v>
      </c>
      <c r="P32" s="23" t="s">
        <v>96</v>
      </c>
      <c r="Q32" s="35">
        <v>-1198</v>
      </c>
      <c r="R32" s="19" t="s">
        <v>107</v>
      </c>
      <c r="S32" s="32">
        <v>-817</v>
      </c>
      <c r="T32" s="23" t="s">
        <v>96</v>
      </c>
      <c r="U32" s="35">
        <v>-1440</v>
      </c>
      <c r="V32" s="82">
        <v>4</v>
      </c>
    </row>
    <row r="33" spans="1:22" s="65" customFormat="1" ht="14.25" customHeight="1" x14ac:dyDescent="0.3">
      <c r="A33" s="99">
        <v>5</v>
      </c>
      <c r="B33" s="48" t="s">
        <v>109</v>
      </c>
      <c r="C33" s="51">
        <v>-471</v>
      </c>
      <c r="D33" s="50" t="s">
        <v>97</v>
      </c>
      <c r="E33" s="51">
        <v>-35</v>
      </c>
      <c r="F33" s="52" t="s">
        <v>103</v>
      </c>
      <c r="G33" s="49">
        <v>-1199</v>
      </c>
      <c r="H33" s="50" t="s">
        <v>110</v>
      </c>
      <c r="I33" s="51">
        <v>-426</v>
      </c>
      <c r="J33" s="50" t="s">
        <v>100</v>
      </c>
      <c r="K33" s="49">
        <v>-275</v>
      </c>
      <c r="L33" s="52" t="s">
        <v>111</v>
      </c>
      <c r="M33" s="51">
        <v>-818</v>
      </c>
      <c r="N33" s="52" t="s">
        <v>111</v>
      </c>
      <c r="O33" s="49">
        <v>-1307</v>
      </c>
      <c r="P33" s="50" t="s">
        <v>108</v>
      </c>
      <c r="Q33" s="51">
        <v>-1179</v>
      </c>
      <c r="R33" s="52" t="s">
        <v>103</v>
      </c>
      <c r="S33" s="49">
        <v>-691</v>
      </c>
      <c r="T33" s="50" t="s">
        <v>104</v>
      </c>
      <c r="U33" s="51">
        <v>-947</v>
      </c>
      <c r="V33" s="82">
        <v>5</v>
      </c>
    </row>
    <row r="34" spans="1:22" s="65" customFormat="1" ht="14.25" customHeight="1" x14ac:dyDescent="0.3">
      <c r="A34" s="76">
        <v>6</v>
      </c>
      <c r="B34" s="21" t="s">
        <v>112</v>
      </c>
      <c r="C34" s="35">
        <v>-425</v>
      </c>
      <c r="D34" s="23"/>
      <c r="E34" s="35"/>
      <c r="F34" s="19" t="s">
        <v>113</v>
      </c>
      <c r="G34" s="32">
        <v>-941</v>
      </c>
      <c r="H34" s="23" t="s">
        <v>114</v>
      </c>
      <c r="I34" s="35">
        <v>-388</v>
      </c>
      <c r="J34" s="23" t="s">
        <v>102</v>
      </c>
      <c r="K34" s="32">
        <v>-159</v>
      </c>
      <c r="L34" s="19" t="s">
        <v>100</v>
      </c>
      <c r="M34" s="35">
        <v>-629</v>
      </c>
      <c r="N34" s="19" t="s">
        <v>103</v>
      </c>
      <c r="O34" s="32">
        <v>-765</v>
      </c>
      <c r="P34" s="23" t="s">
        <v>111</v>
      </c>
      <c r="Q34" s="35">
        <v>-1107</v>
      </c>
      <c r="R34" s="19" t="s">
        <v>95</v>
      </c>
      <c r="S34" s="32">
        <v>-642</v>
      </c>
      <c r="T34" s="23" t="s">
        <v>102</v>
      </c>
      <c r="U34" s="35">
        <v>-876</v>
      </c>
      <c r="V34" s="82">
        <v>6</v>
      </c>
    </row>
    <row r="35" spans="1:22" s="65" customFormat="1" ht="14.25" customHeight="1" x14ac:dyDescent="0.3">
      <c r="A35" s="76">
        <v>7</v>
      </c>
      <c r="B35" s="21" t="s">
        <v>100</v>
      </c>
      <c r="C35" s="35">
        <v>-393</v>
      </c>
      <c r="D35" s="23"/>
      <c r="E35" s="35"/>
      <c r="F35" s="19" t="s">
        <v>97</v>
      </c>
      <c r="G35" s="32">
        <v>-643</v>
      </c>
      <c r="H35" s="23" t="s">
        <v>115</v>
      </c>
      <c r="I35" s="35">
        <v>-232</v>
      </c>
      <c r="J35" s="23" t="s">
        <v>111</v>
      </c>
      <c r="K35" s="32">
        <v>-149</v>
      </c>
      <c r="L35" s="19" t="s">
        <v>114</v>
      </c>
      <c r="M35" s="35">
        <v>-489</v>
      </c>
      <c r="N35" s="19" t="s">
        <v>116</v>
      </c>
      <c r="O35" s="32">
        <v>-649</v>
      </c>
      <c r="P35" s="23" t="s">
        <v>114</v>
      </c>
      <c r="Q35" s="35">
        <v>-722</v>
      </c>
      <c r="R35" s="19" t="s">
        <v>108</v>
      </c>
      <c r="S35" s="32">
        <v>-620</v>
      </c>
      <c r="T35" s="23" t="s">
        <v>111</v>
      </c>
      <c r="U35" s="35">
        <v>-780</v>
      </c>
      <c r="V35" s="82">
        <v>7</v>
      </c>
    </row>
    <row r="36" spans="1:22" s="65" customFormat="1" ht="14.25" customHeight="1" x14ac:dyDescent="0.3">
      <c r="A36" s="76">
        <v>8</v>
      </c>
      <c r="B36" s="21" t="s">
        <v>118</v>
      </c>
      <c r="C36" s="35">
        <v>-334</v>
      </c>
      <c r="D36" s="23"/>
      <c r="E36" s="35"/>
      <c r="F36" s="19" t="s">
        <v>119</v>
      </c>
      <c r="G36" s="32">
        <v>-636</v>
      </c>
      <c r="H36" s="23" t="s">
        <v>120</v>
      </c>
      <c r="I36" s="35">
        <v>-156</v>
      </c>
      <c r="J36" s="23" t="s">
        <v>115</v>
      </c>
      <c r="K36" s="32">
        <v>-140</v>
      </c>
      <c r="L36" s="19" t="s">
        <v>107</v>
      </c>
      <c r="M36" s="35">
        <v>-327</v>
      </c>
      <c r="N36" s="19" t="s">
        <v>105</v>
      </c>
      <c r="O36" s="32">
        <v>-637</v>
      </c>
      <c r="P36" s="23" t="s">
        <v>121</v>
      </c>
      <c r="Q36" s="35">
        <v>-708</v>
      </c>
      <c r="R36" s="19" t="s">
        <v>115</v>
      </c>
      <c r="S36" s="32">
        <v>-589</v>
      </c>
      <c r="T36" s="23" t="s">
        <v>122</v>
      </c>
      <c r="U36" s="35">
        <v>-738</v>
      </c>
      <c r="V36" s="82">
        <v>8</v>
      </c>
    </row>
    <row r="37" spans="1:22" s="65" customFormat="1" ht="14.25" customHeight="1" x14ac:dyDescent="0.3">
      <c r="A37" s="76">
        <v>9</v>
      </c>
      <c r="B37" s="21" t="s">
        <v>105</v>
      </c>
      <c r="C37" s="35">
        <v>-226</v>
      </c>
      <c r="D37" s="23"/>
      <c r="E37" s="35"/>
      <c r="F37" s="19" t="s">
        <v>123</v>
      </c>
      <c r="G37" s="32">
        <v>-449</v>
      </c>
      <c r="H37" s="23" t="s">
        <v>106</v>
      </c>
      <c r="I37" s="35">
        <v>-99</v>
      </c>
      <c r="J37" s="23" t="s">
        <v>124</v>
      </c>
      <c r="K37" s="32">
        <v>-129</v>
      </c>
      <c r="L37" s="19" t="s">
        <v>115</v>
      </c>
      <c r="M37" s="35">
        <v>-283</v>
      </c>
      <c r="N37" s="19" t="s">
        <v>107</v>
      </c>
      <c r="O37" s="32">
        <v>-532</v>
      </c>
      <c r="P37" s="23" t="s">
        <v>115</v>
      </c>
      <c r="Q37" s="35">
        <v>-588</v>
      </c>
      <c r="R37" s="19" t="s">
        <v>111</v>
      </c>
      <c r="S37" s="32">
        <v>-505</v>
      </c>
      <c r="T37" s="23" t="s">
        <v>125</v>
      </c>
      <c r="U37" s="35">
        <v>-566</v>
      </c>
      <c r="V37" s="82">
        <v>9</v>
      </c>
    </row>
    <row r="38" spans="1:22" s="65" customFormat="1" ht="14.25" customHeight="1" thickBot="1" x14ac:dyDescent="0.35">
      <c r="A38" s="89">
        <v>10</v>
      </c>
      <c r="B38" s="22" t="s">
        <v>126</v>
      </c>
      <c r="C38" s="36">
        <v>-226</v>
      </c>
      <c r="D38" s="24"/>
      <c r="E38" s="36"/>
      <c r="F38" s="20" t="s">
        <v>124</v>
      </c>
      <c r="G38" s="33">
        <v>-173</v>
      </c>
      <c r="H38" s="24" t="s">
        <v>111</v>
      </c>
      <c r="I38" s="36">
        <v>-39</v>
      </c>
      <c r="J38" s="24" t="s">
        <v>107</v>
      </c>
      <c r="K38" s="33">
        <v>-108</v>
      </c>
      <c r="L38" s="20" t="s">
        <v>106</v>
      </c>
      <c r="M38" s="36">
        <v>-222</v>
      </c>
      <c r="N38" s="20" t="s">
        <v>109</v>
      </c>
      <c r="O38" s="33">
        <v>-530</v>
      </c>
      <c r="P38" s="24" t="s">
        <v>106</v>
      </c>
      <c r="Q38" s="36">
        <v>-576</v>
      </c>
      <c r="R38" s="20" t="s">
        <v>127</v>
      </c>
      <c r="S38" s="33">
        <v>-447</v>
      </c>
      <c r="T38" s="24" t="s">
        <v>108</v>
      </c>
      <c r="U38" s="36">
        <v>-444</v>
      </c>
      <c r="V38" s="95">
        <v>10</v>
      </c>
    </row>
    <row r="39" spans="1:22" s="103" customFormat="1" ht="14.25" customHeight="1" x14ac:dyDescent="0.3">
      <c r="A39" s="67" t="s">
        <v>158</v>
      </c>
      <c r="B39" s="314">
        <v>2011</v>
      </c>
      <c r="C39" s="315"/>
      <c r="D39" s="317">
        <v>2012</v>
      </c>
      <c r="E39" s="315"/>
      <c r="F39" s="316">
        <v>2013</v>
      </c>
      <c r="G39" s="315"/>
      <c r="H39" s="316">
        <v>2014</v>
      </c>
      <c r="I39" s="315"/>
      <c r="J39" s="316">
        <v>2015</v>
      </c>
      <c r="K39" s="317"/>
      <c r="L39" s="317">
        <v>2016</v>
      </c>
      <c r="M39" s="315"/>
      <c r="N39" s="317">
        <v>2017</v>
      </c>
      <c r="O39" s="315"/>
      <c r="P39" s="317">
        <v>2018</v>
      </c>
      <c r="Q39" s="315"/>
      <c r="R39" s="316">
        <v>2019</v>
      </c>
      <c r="S39" s="315"/>
      <c r="T39" s="316"/>
      <c r="U39" s="315"/>
      <c r="V39" s="68" t="s">
        <v>158</v>
      </c>
    </row>
    <row r="40" spans="1:22" s="65" customFormat="1" ht="14.25" customHeight="1" x14ac:dyDescent="0.3">
      <c r="A40" s="69">
        <v>1</v>
      </c>
      <c r="B40" s="25" t="s">
        <v>94</v>
      </c>
      <c r="C40" s="34">
        <v>-5566</v>
      </c>
      <c r="D40" s="26" t="s">
        <v>117</v>
      </c>
      <c r="E40" s="34">
        <v>-2334</v>
      </c>
      <c r="F40" s="27" t="s">
        <v>117</v>
      </c>
      <c r="G40" s="31">
        <v>-3864</v>
      </c>
      <c r="H40" s="26" t="s">
        <v>117</v>
      </c>
      <c r="I40" s="34">
        <v>-5303</v>
      </c>
      <c r="J40" s="26" t="s">
        <v>181</v>
      </c>
      <c r="K40" s="31">
        <v>-5506</v>
      </c>
      <c r="L40" s="27" t="s">
        <v>181</v>
      </c>
      <c r="M40" s="34">
        <v>-5438</v>
      </c>
      <c r="N40" s="27" t="s">
        <v>183</v>
      </c>
      <c r="O40" s="34">
        <v>-4870</v>
      </c>
      <c r="P40" s="27" t="s">
        <v>181</v>
      </c>
      <c r="Q40" s="31">
        <v>-2990</v>
      </c>
      <c r="R40" s="26" t="s">
        <v>188</v>
      </c>
      <c r="S40" s="34">
        <v>-1246</v>
      </c>
      <c r="T40" s="26"/>
      <c r="U40" s="34"/>
      <c r="V40" s="75">
        <v>1</v>
      </c>
    </row>
    <row r="41" spans="1:22" s="65" customFormat="1" ht="14.25" customHeight="1" x14ac:dyDescent="0.3">
      <c r="A41" s="76">
        <v>2</v>
      </c>
      <c r="B41" s="21" t="s">
        <v>97</v>
      </c>
      <c r="C41" s="35">
        <v>-2764</v>
      </c>
      <c r="D41" s="23" t="s">
        <v>182</v>
      </c>
      <c r="E41" s="35">
        <v>-2235</v>
      </c>
      <c r="F41" s="19" t="s">
        <v>182</v>
      </c>
      <c r="G41" s="32">
        <v>-2046</v>
      </c>
      <c r="H41" s="23" t="s">
        <v>125</v>
      </c>
      <c r="I41" s="35">
        <v>-2495</v>
      </c>
      <c r="J41" s="23" t="s">
        <v>189</v>
      </c>
      <c r="K41" s="32">
        <v>-4305</v>
      </c>
      <c r="L41" s="19" t="s">
        <v>189</v>
      </c>
      <c r="M41" s="35">
        <v>-3771</v>
      </c>
      <c r="N41" s="19" t="s">
        <v>189</v>
      </c>
      <c r="O41" s="35">
        <v>-4611</v>
      </c>
      <c r="P41" s="19" t="s">
        <v>180</v>
      </c>
      <c r="Q41" s="32">
        <v>-2347</v>
      </c>
      <c r="R41" s="23" t="s">
        <v>190</v>
      </c>
      <c r="S41" s="35">
        <v>-900</v>
      </c>
      <c r="T41" s="23"/>
      <c r="U41" s="35"/>
      <c r="V41" s="82">
        <v>2</v>
      </c>
    </row>
    <row r="42" spans="1:22" s="65" customFormat="1" ht="14.25" customHeight="1" x14ac:dyDescent="0.3">
      <c r="A42" s="76">
        <v>3</v>
      </c>
      <c r="B42" s="21" t="s">
        <v>95</v>
      </c>
      <c r="C42" s="35">
        <v>-2582</v>
      </c>
      <c r="D42" s="23" t="s">
        <v>94</v>
      </c>
      <c r="E42" s="35">
        <v>-2083</v>
      </c>
      <c r="F42" s="19" t="s">
        <v>94</v>
      </c>
      <c r="G42" s="32">
        <v>-1898</v>
      </c>
      <c r="H42" s="23" t="s">
        <v>97</v>
      </c>
      <c r="I42" s="35">
        <v>-2102</v>
      </c>
      <c r="J42" s="23" t="s">
        <v>188</v>
      </c>
      <c r="K42" s="32">
        <v>-2700</v>
      </c>
      <c r="L42" s="19" t="s">
        <v>180</v>
      </c>
      <c r="M42" s="35">
        <v>-3086</v>
      </c>
      <c r="N42" s="19" t="s">
        <v>181</v>
      </c>
      <c r="O42" s="35">
        <v>-4069</v>
      </c>
      <c r="P42" s="19" t="s">
        <v>189</v>
      </c>
      <c r="Q42" s="32">
        <v>-2322</v>
      </c>
      <c r="R42" s="23" t="s">
        <v>189</v>
      </c>
      <c r="S42" s="35">
        <v>-856</v>
      </c>
      <c r="T42" s="23"/>
      <c r="U42" s="35"/>
      <c r="V42" s="82">
        <v>3</v>
      </c>
    </row>
    <row r="43" spans="1:22" s="65" customFormat="1" ht="14.25" customHeight="1" x14ac:dyDescent="0.3">
      <c r="A43" s="76">
        <v>4</v>
      </c>
      <c r="B43" s="21" t="s">
        <v>108</v>
      </c>
      <c r="C43" s="35">
        <v>-2372</v>
      </c>
      <c r="D43" s="23" t="s">
        <v>97</v>
      </c>
      <c r="E43" s="35">
        <v>-1689</v>
      </c>
      <c r="F43" s="19" t="s">
        <v>125</v>
      </c>
      <c r="G43" s="32">
        <v>-1889</v>
      </c>
      <c r="H43" s="23" t="s">
        <v>185</v>
      </c>
      <c r="I43" s="35">
        <v>-1923</v>
      </c>
      <c r="J43" s="23" t="s">
        <v>191</v>
      </c>
      <c r="K43" s="32">
        <v>-2446</v>
      </c>
      <c r="L43" s="19" t="s">
        <v>183</v>
      </c>
      <c r="M43" s="35">
        <v>-2663</v>
      </c>
      <c r="N43" s="19" t="s">
        <v>180</v>
      </c>
      <c r="O43" s="35">
        <v>-3681</v>
      </c>
      <c r="P43" s="19" t="s">
        <v>183</v>
      </c>
      <c r="Q43" s="32">
        <v>-1509</v>
      </c>
      <c r="R43" s="23" t="s">
        <v>192</v>
      </c>
      <c r="S43" s="35">
        <v>-560</v>
      </c>
      <c r="T43" s="23"/>
      <c r="U43" s="35"/>
      <c r="V43" s="82">
        <v>4</v>
      </c>
    </row>
    <row r="44" spans="1:22" s="65" customFormat="1" ht="14.25" customHeight="1" x14ac:dyDescent="0.3">
      <c r="A44" s="76">
        <v>5</v>
      </c>
      <c r="B44" s="48" t="s">
        <v>96</v>
      </c>
      <c r="C44" s="51">
        <v>-2090</v>
      </c>
      <c r="D44" s="23" t="s">
        <v>100</v>
      </c>
      <c r="E44" s="35">
        <v>-1454</v>
      </c>
      <c r="F44" s="19" t="s">
        <v>97</v>
      </c>
      <c r="G44" s="32">
        <v>-1706</v>
      </c>
      <c r="H44" s="23" t="s">
        <v>182</v>
      </c>
      <c r="I44" s="35">
        <v>-1771</v>
      </c>
      <c r="J44" s="23" t="s">
        <v>193</v>
      </c>
      <c r="K44" s="32">
        <v>-1870</v>
      </c>
      <c r="L44" s="19" t="s">
        <v>188</v>
      </c>
      <c r="M44" s="35">
        <v>-1869</v>
      </c>
      <c r="N44" s="52" t="s">
        <v>190</v>
      </c>
      <c r="O44" s="51">
        <v>-1345</v>
      </c>
      <c r="P44" s="19" t="s">
        <v>190</v>
      </c>
      <c r="Q44" s="32">
        <v>-1279</v>
      </c>
      <c r="R44" s="23" t="s">
        <v>181</v>
      </c>
      <c r="S44" s="35">
        <v>-494</v>
      </c>
      <c r="T44" s="23"/>
      <c r="U44" s="35"/>
      <c r="V44" s="82">
        <v>5</v>
      </c>
    </row>
    <row r="45" spans="1:22" s="65" customFormat="1" ht="14.25" customHeight="1" x14ac:dyDescent="0.3">
      <c r="A45" s="83">
        <v>6</v>
      </c>
      <c r="B45" s="21" t="s">
        <v>104</v>
      </c>
      <c r="C45" s="35">
        <v>-1365</v>
      </c>
      <c r="D45" s="41" t="s">
        <v>96</v>
      </c>
      <c r="E45" s="42">
        <v>-1392</v>
      </c>
      <c r="F45" s="43" t="s">
        <v>100</v>
      </c>
      <c r="G45" s="40">
        <v>-1156</v>
      </c>
      <c r="H45" s="41" t="s">
        <v>94</v>
      </c>
      <c r="I45" s="42">
        <v>-1672</v>
      </c>
      <c r="J45" s="41" t="s">
        <v>192</v>
      </c>
      <c r="K45" s="40">
        <v>-1716</v>
      </c>
      <c r="L45" s="43" t="s">
        <v>192</v>
      </c>
      <c r="M45" s="42">
        <v>-1424</v>
      </c>
      <c r="N45" s="43" t="s">
        <v>188</v>
      </c>
      <c r="O45" s="40">
        <v>-1273</v>
      </c>
      <c r="P45" s="41" t="s">
        <v>204</v>
      </c>
      <c r="Q45" s="42">
        <v>-1129</v>
      </c>
      <c r="R45" s="43" t="s">
        <v>199</v>
      </c>
      <c r="S45" s="40">
        <v>-471</v>
      </c>
      <c r="T45" s="41"/>
      <c r="U45" s="42"/>
      <c r="V45" s="82">
        <v>6</v>
      </c>
    </row>
    <row r="46" spans="1:22" s="65" customFormat="1" ht="14.25" customHeight="1" x14ac:dyDescent="0.3">
      <c r="A46" s="76">
        <v>7</v>
      </c>
      <c r="B46" s="21" t="s">
        <v>117</v>
      </c>
      <c r="C46" s="35">
        <v>-1038</v>
      </c>
      <c r="D46" s="23" t="s">
        <v>125</v>
      </c>
      <c r="E46" s="35">
        <v>-1225</v>
      </c>
      <c r="F46" s="19" t="s">
        <v>107</v>
      </c>
      <c r="G46" s="32">
        <v>-1034</v>
      </c>
      <c r="H46" s="23" t="s">
        <v>111</v>
      </c>
      <c r="I46" s="35">
        <v>-1507</v>
      </c>
      <c r="J46" s="23" t="s">
        <v>183</v>
      </c>
      <c r="K46" s="32">
        <v>-1678</v>
      </c>
      <c r="L46" s="19" t="s">
        <v>205</v>
      </c>
      <c r="M46" s="35">
        <v>-1338</v>
      </c>
      <c r="N46" s="19" t="s">
        <v>192</v>
      </c>
      <c r="O46" s="32">
        <v>-1080</v>
      </c>
      <c r="P46" s="23" t="s">
        <v>192</v>
      </c>
      <c r="Q46" s="35">
        <v>-956</v>
      </c>
      <c r="R46" s="19" t="s">
        <v>200</v>
      </c>
      <c r="S46" s="32">
        <v>-358</v>
      </c>
      <c r="T46" s="23"/>
      <c r="U46" s="35"/>
      <c r="V46" s="82">
        <v>7</v>
      </c>
    </row>
    <row r="47" spans="1:22" s="65" customFormat="1" ht="14.25" customHeight="1" x14ac:dyDescent="0.3">
      <c r="A47" s="76">
        <v>8</v>
      </c>
      <c r="B47" s="21" t="s">
        <v>111</v>
      </c>
      <c r="C47" s="35">
        <v>-995</v>
      </c>
      <c r="D47" s="23" t="s">
        <v>111</v>
      </c>
      <c r="E47" s="35">
        <v>-1153</v>
      </c>
      <c r="F47" s="19" t="s">
        <v>103</v>
      </c>
      <c r="G47" s="32">
        <v>-979</v>
      </c>
      <c r="H47" s="23" t="s">
        <v>100</v>
      </c>
      <c r="I47" s="35">
        <v>-1216</v>
      </c>
      <c r="J47" s="23" t="s">
        <v>186</v>
      </c>
      <c r="K47" s="32">
        <v>-1474</v>
      </c>
      <c r="L47" s="19" t="s">
        <v>186</v>
      </c>
      <c r="M47" s="35">
        <v>-984</v>
      </c>
      <c r="N47" s="19" t="s">
        <v>193</v>
      </c>
      <c r="O47" s="32">
        <v>-1061</v>
      </c>
      <c r="P47" s="23" t="s">
        <v>187</v>
      </c>
      <c r="Q47" s="35">
        <v>-924</v>
      </c>
      <c r="R47" s="19" t="s">
        <v>201</v>
      </c>
      <c r="S47" s="32">
        <v>-284</v>
      </c>
      <c r="T47" s="23"/>
      <c r="U47" s="35"/>
      <c r="V47" s="82">
        <v>8</v>
      </c>
    </row>
    <row r="48" spans="1:22" s="65" customFormat="1" ht="14.25" customHeight="1" x14ac:dyDescent="0.3">
      <c r="A48" s="76">
        <v>9</v>
      </c>
      <c r="B48" s="21" t="s">
        <v>125</v>
      </c>
      <c r="C48" s="35">
        <v>-985</v>
      </c>
      <c r="D48" s="23" t="s">
        <v>103</v>
      </c>
      <c r="E48" s="35">
        <v>-812</v>
      </c>
      <c r="F48" s="19" t="s">
        <v>111</v>
      </c>
      <c r="G48" s="32">
        <v>-906</v>
      </c>
      <c r="H48" s="23" t="s">
        <v>207</v>
      </c>
      <c r="I48" s="35">
        <v>-1093</v>
      </c>
      <c r="J48" s="23" t="s">
        <v>184</v>
      </c>
      <c r="K48" s="32">
        <v>-1346</v>
      </c>
      <c r="L48" s="19" t="s">
        <v>190</v>
      </c>
      <c r="M48" s="35">
        <v>-894</v>
      </c>
      <c r="N48" s="19" t="s">
        <v>205</v>
      </c>
      <c r="O48" s="32">
        <v>-816</v>
      </c>
      <c r="P48" s="23" t="s">
        <v>188</v>
      </c>
      <c r="Q48" s="35">
        <v>-719</v>
      </c>
      <c r="R48" s="19" t="s">
        <v>202</v>
      </c>
      <c r="S48" s="32">
        <v>-275</v>
      </c>
      <c r="T48" s="23"/>
      <c r="U48" s="35"/>
      <c r="V48" s="82">
        <v>9</v>
      </c>
    </row>
    <row r="49" spans="1:22" s="65" customFormat="1" ht="14.25" customHeight="1" thickBot="1" x14ac:dyDescent="0.35">
      <c r="A49" s="89">
        <v>10</v>
      </c>
      <c r="B49" s="22" t="s">
        <v>114</v>
      </c>
      <c r="C49" s="36">
        <v>-875</v>
      </c>
      <c r="D49" s="24" t="s">
        <v>127</v>
      </c>
      <c r="E49" s="36">
        <v>-710</v>
      </c>
      <c r="F49" s="20" t="s">
        <v>110</v>
      </c>
      <c r="G49" s="33">
        <v>-883</v>
      </c>
      <c r="H49" s="24" t="s">
        <v>107</v>
      </c>
      <c r="I49" s="36">
        <v>-989</v>
      </c>
      <c r="J49" s="24" t="s">
        <v>187</v>
      </c>
      <c r="K49" s="33">
        <v>-1303</v>
      </c>
      <c r="L49" s="20" t="s">
        <v>191</v>
      </c>
      <c r="M49" s="36">
        <v>-860</v>
      </c>
      <c r="N49" s="20" t="s">
        <v>203</v>
      </c>
      <c r="O49" s="33">
        <v>-794</v>
      </c>
      <c r="P49" s="24" t="s">
        <v>199</v>
      </c>
      <c r="Q49" s="36">
        <v>-662</v>
      </c>
      <c r="R49" s="20" t="s">
        <v>203</v>
      </c>
      <c r="S49" s="33">
        <v>-275</v>
      </c>
      <c r="T49" s="24"/>
      <c r="U49" s="36"/>
      <c r="V49" s="95">
        <v>10</v>
      </c>
    </row>
  </sheetData>
  <mergeCells count="40">
    <mergeCell ref="B39:C39"/>
    <mergeCell ref="D39:E39"/>
    <mergeCell ref="F39:G39"/>
    <mergeCell ref="H39:I39"/>
    <mergeCell ref="J39:K39"/>
    <mergeCell ref="L39:M39"/>
    <mergeCell ref="N15:O15"/>
    <mergeCell ref="P15:Q15"/>
    <mergeCell ref="R15:S15"/>
    <mergeCell ref="T15:U15"/>
    <mergeCell ref="L28:M28"/>
    <mergeCell ref="L15:M15"/>
    <mergeCell ref="N39:O39"/>
    <mergeCell ref="P39:Q39"/>
    <mergeCell ref="R39:S39"/>
    <mergeCell ref="T39:U39"/>
    <mergeCell ref="N28:O28"/>
    <mergeCell ref="P28:Q28"/>
    <mergeCell ref="R28:S28"/>
    <mergeCell ref="T28:U28"/>
    <mergeCell ref="B28:C28"/>
    <mergeCell ref="D28:E28"/>
    <mergeCell ref="F28:G28"/>
    <mergeCell ref="H28:I28"/>
    <mergeCell ref="J28:K28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B15:C15"/>
    <mergeCell ref="D15:E15"/>
    <mergeCell ref="F15:G15"/>
    <mergeCell ref="H15:I15"/>
    <mergeCell ref="J15:K15"/>
  </mergeCells>
  <phoneticPr fontId="1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13</vt:i4>
      </vt:variant>
    </vt:vector>
  </HeadingPairs>
  <TitlesOfParts>
    <vt:vector size="28" baseType="lpstr">
      <vt:lpstr>1. 수도권 인구이동</vt:lpstr>
      <vt:lpstr>2. 성,연령별 순이동(전체)</vt:lpstr>
      <vt:lpstr>3. 성.연령별 순이동(남자)</vt:lpstr>
      <vt:lpstr>4. 성.연령별 순이동(여자)</vt:lpstr>
      <vt:lpstr>5. 이동규모별 연령별 이동</vt:lpstr>
      <vt:lpstr>6.전입사유별 이동</vt:lpstr>
      <vt:lpstr>7. 1인 이동의 연령별 전입사유별 순이동</vt:lpstr>
      <vt:lpstr>8. 전출 시도별 수도권 순이동</vt:lpstr>
      <vt:lpstr>9.전출 시도별 수도권 순이동(청년층,중장년층)</vt:lpstr>
      <vt:lpstr>10. 수도권 시도별 순이동</vt:lpstr>
      <vt:lpstr>11.수도권 시도의 전입사유별 순이동</vt:lpstr>
      <vt:lpstr>12.수도권내 시도간 연령별 순이동</vt:lpstr>
      <vt:lpstr>13.수도권 시도의 비수도권간 연령별 순이동</vt:lpstr>
      <vt:lpstr>수도권상위</vt:lpstr>
      <vt:lpstr>비수도권상위</vt:lpstr>
      <vt:lpstr>'1. 수도권 인구이동'!Print_Area</vt:lpstr>
      <vt:lpstr>'10. 수도권 시도별 순이동'!Print_Area</vt:lpstr>
      <vt:lpstr>'11.수도권 시도의 전입사유별 순이동'!Print_Area</vt:lpstr>
      <vt:lpstr>'12.수도권내 시도간 연령별 순이동'!Print_Area</vt:lpstr>
      <vt:lpstr>'13.수도권 시도의 비수도권간 연령별 순이동'!Print_Area</vt:lpstr>
      <vt:lpstr>'2. 성,연령별 순이동(전체)'!Print_Area</vt:lpstr>
      <vt:lpstr>'3. 성.연령별 순이동(남자)'!Print_Area</vt:lpstr>
      <vt:lpstr>'4. 성.연령별 순이동(여자)'!Print_Area</vt:lpstr>
      <vt:lpstr>'5. 이동규모별 연령별 이동'!Print_Area</vt:lpstr>
      <vt:lpstr>'6.전입사유별 이동'!Print_Area</vt:lpstr>
      <vt:lpstr>'7. 1인 이동의 연령별 전입사유별 순이동'!Print_Area</vt:lpstr>
      <vt:lpstr>'8. 전출 시도별 수도권 순이동'!Print_Area</vt:lpstr>
      <vt:lpstr>'9.전출 시도별 수도권 순이동(청년층,중장년층)'!Print_Area</vt:lpstr>
    </vt:vector>
  </TitlesOfParts>
  <Company>통계청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2025-09-15T04:21:40Z</cp:lastPrinted>
  <dcterms:created xsi:type="dcterms:W3CDTF">2012-01-25T04:06:24Z</dcterms:created>
  <dcterms:modified xsi:type="dcterms:W3CDTF">2025-09-17T06:42:36Z</dcterms:modified>
</cp:coreProperties>
</file>